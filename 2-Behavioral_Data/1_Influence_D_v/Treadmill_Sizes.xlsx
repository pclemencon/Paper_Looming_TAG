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22112760t\Desktop\Analyse_Treadmill\"/>
    </mc:Choice>
  </mc:AlternateContent>
  <xr:revisionPtr revIDLastSave="0" documentId="13_ncr:1_{525E7832-4307-4779-9757-35B825446D2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03_04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0" i="21" l="1"/>
  <c r="K68" i="21"/>
  <c r="K66" i="21"/>
  <c r="K64" i="21"/>
  <c r="K65" i="21"/>
  <c r="K67" i="21"/>
  <c r="K69" i="21"/>
  <c r="K63" i="21"/>
  <c r="K55" i="21"/>
  <c r="K57" i="21"/>
  <c r="K78" i="21"/>
  <c r="K77" i="21"/>
  <c r="K76" i="21"/>
  <c r="K75" i="21"/>
  <c r="K74" i="21"/>
  <c r="K73" i="21"/>
  <c r="K72" i="21"/>
  <c r="K71" i="21"/>
  <c r="K62" i="21"/>
  <c r="K60" i="21"/>
  <c r="K58" i="21"/>
  <c r="K56" i="21"/>
  <c r="K59" i="21"/>
  <c r="K61" i="21"/>
  <c r="M73" i="21"/>
  <c r="M75" i="21"/>
  <c r="M63" i="21"/>
  <c r="M64" i="21"/>
  <c r="M65" i="21"/>
  <c r="M67" i="21"/>
  <c r="M68" i="21"/>
  <c r="M69" i="21"/>
  <c r="M71" i="21"/>
  <c r="M77" i="21"/>
  <c r="M56" i="21"/>
  <c r="M57" i="21"/>
  <c r="M59" i="21"/>
  <c r="M61" i="21"/>
  <c r="M62" i="21"/>
  <c r="M55" i="21"/>
</calcChain>
</file>

<file path=xl/sharedStrings.xml><?xml version="1.0" encoding="utf-8"?>
<sst xmlns="http://schemas.openxmlformats.org/spreadsheetml/2006/main" count="110" uniqueCount="110">
  <si>
    <t>vidéo</t>
  </si>
  <si>
    <t>grillon</t>
  </si>
  <si>
    <t>v</t>
  </si>
  <si>
    <t>safe</t>
  </si>
  <si>
    <t>R</t>
  </si>
  <si>
    <t>comments</t>
  </si>
  <si>
    <t>keep</t>
  </si>
  <si>
    <t>ID</t>
  </si>
  <si>
    <t>diverse</t>
  </si>
  <si>
    <t>mvt</t>
  </si>
  <si>
    <t>frames_lum</t>
  </si>
  <si>
    <t>frames_immo</t>
  </si>
  <si>
    <t>frames_reac</t>
  </si>
  <si>
    <t>ambigu</t>
  </si>
  <si>
    <t>percute abdo</t>
  </si>
  <si>
    <t>touche je crois</t>
  </si>
  <si>
    <t>Basler_acA720-520uc__40068684__20240304_165209597_R7v10</t>
  </si>
  <si>
    <t>Basler_acA720-520uc__40068684__20240304_170702371_R7v40</t>
  </si>
  <si>
    <t>Basler_acA720-520uc__40068684__20240304_172215958_R15v10</t>
  </si>
  <si>
    <t>trop court je crois</t>
  </si>
  <si>
    <t>Basler_acA720-520uc__40068684__20240304_173724315_R15v40</t>
  </si>
  <si>
    <t>Basler_acA720-520uc__40068684__20240304_175833304_R25v10</t>
  </si>
  <si>
    <t>Basler_acA720-520uc__40068684__20240304_180836914_R25v40</t>
  </si>
  <si>
    <t>Basler_acA720-520uc__40068684__20240304_182345445_R7v10</t>
  </si>
  <si>
    <t>Basler_acA720-520uc__40068684__20240304_183347318_R7v40</t>
  </si>
  <si>
    <t>mvt patte avant</t>
  </si>
  <si>
    <t>Basler_acA720-520uc__40068684__20240305_172747755_R15v10</t>
  </si>
  <si>
    <t>debutcourt</t>
  </si>
  <si>
    <t>Basler_acA720-520uc__40068684__20240305_173827282_R15v40</t>
  </si>
  <si>
    <t>truc bizarre sursaut</t>
  </si>
  <si>
    <t>Basler_acA720-520uc__40068684__20240305_175438221_R7v10</t>
  </si>
  <si>
    <t>Basler_acA720-520uc__40068684__20240305_180422206_R7v40</t>
  </si>
  <si>
    <t>Basler_acA720-520uc__40068684__20240305_181613425_R25v10</t>
  </si>
  <si>
    <t>Basler_acA720-520uc__40068684__20240305_182544029_R25v40</t>
  </si>
  <si>
    <t>Basler_acA720-520uc__40068684__20240305_183648510_R15v10_2</t>
  </si>
  <si>
    <t>Basler_acA720-520uc__40068684__20240305_184615131_R15v40_2</t>
  </si>
  <si>
    <t>Basler_acA720-520uc__40068684__20240305_184656095_ctrl40</t>
  </si>
  <si>
    <t>safe pas sur</t>
  </si>
  <si>
    <t>Basler_acA720-520uc__40068684__20240307_153216282_R15v10</t>
  </si>
  <si>
    <t>aucune idee si safe ou pas je dirai que percute cerque</t>
  </si>
  <si>
    <t>Basler_acA720-520uc__40068684__20240307_154336834_R15v40</t>
  </si>
  <si>
    <t>Basler_acA720-520uc__40068684__20240307_155720481_R25v10</t>
  </si>
  <si>
    <t>Basler_acA720-520uc__40068684__20240307_160702489_R25v40</t>
  </si>
  <si>
    <t>Basler_acA720-520uc__40068684__20240307_162211407_R7v10</t>
  </si>
  <si>
    <t>Basler_acA720-520uc__40068684__20240307_163237420_R7v40</t>
  </si>
  <si>
    <t>Basler_acA720-520uc__40068684__20240307_164716093_R15v10_2</t>
  </si>
  <si>
    <t>Basler_acA720-520uc__40068684__20240307_170156611_R15v40_2</t>
  </si>
  <si>
    <t>collision plus plus</t>
  </si>
  <si>
    <t>Basler_acA720-520uc__40068684__20240307_170305256_ctrl40</t>
  </si>
  <si>
    <t>Basler_acA720-520uc__40068684__20240308_163017611_R25v10</t>
  </si>
  <si>
    <t>Basler_acA720-520uc__40068684__20240308_165242931_R25v40</t>
  </si>
  <si>
    <t>chute</t>
  </si>
  <si>
    <t>Basler_acA720-520uc__40068684__20240308_170737442_R7v10</t>
  </si>
  <si>
    <t>Basler_acA720-520uc__40068684__20240308_171723415_R7v40</t>
  </si>
  <si>
    <t>Basler_acA720-520uc__40068684__20240308_173654779_R15v10</t>
  </si>
  <si>
    <t>Basler_acA720-520uc__40068684__20240308_174619712_R15v40</t>
  </si>
  <si>
    <t>Basler_acA720-520uc__40068684__20240308_175756110_R25v10</t>
  </si>
  <si>
    <t>Basler_acA720-520uc__40068684__20240308_181219122_R25v40</t>
  </si>
  <si>
    <t>Basler_acA720-520uc__40068684__20240308_181706095_ctrl40</t>
  </si>
  <si>
    <t>Basler_acA720-520uc__40068684__20240311_164724320_R7v10</t>
  </si>
  <si>
    <t>Basler_acA720-520uc__40068684__20240311_165905876_R7v40</t>
  </si>
  <si>
    <t>Basler_acA720-520uc__40068684__20240311_171511559_R25v10</t>
  </si>
  <si>
    <t>Basler_acA720-520uc__40068684__20240311_172755658_R25v40</t>
  </si>
  <si>
    <t>sursaut tout debut a 15 et mvt patte a 43</t>
  </si>
  <si>
    <t>Basler_acA720-520uc__40068684__20240311_174128104_R15v10</t>
  </si>
  <si>
    <t>Basler_acA720-520uc__40068684__20240311_175446710_R15v40</t>
  </si>
  <si>
    <t>tot</t>
  </si>
  <si>
    <t>Basler_acA720-520uc__40068684__20240311_181016641_R7v10_2</t>
  </si>
  <si>
    <t>Basler_acA720-520uc__40068684__20240311_182032567_R7v40_2</t>
  </si>
  <si>
    <t>Basler_acA720-520uc__40068684__20240311_182223361_ctrl40</t>
  </si>
  <si>
    <t>Basler_acA720-520uc__40068684__20240313_104732988_R25v10</t>
  </si>
  <si>
    <t>debut ambigu</t>
  </si>
  <si>
    <t>Basler_acA720-520uc__40068684__20240313_105907798_R25v40</t>
  </si>
  <si>
    <t>Basler_acA720-520uc__40068684__20240313_111828162_R15v10</t>
  </si>
  <si>
    <t>Basler_acA720-520uc__40068684__20240313_112840291_R15v40</t>
  </si>
  <si>
    <t>Basler_acA720-520uc__40068684__20240313_114418650_R7v10</t>
  </si>
  <si>
    <t>Basler_acA720-520uc__40068684__20240313_115342551_R7v40</t>
  </si>
  <si>
    <t>Basler_acA720-520uc__40068684__20240313_121154881_R25v10</t>
  </si>
  <si>
    <t>plus tard</t>
  </si>
  <si>
    <t>Basler_acA720-520uc__40068684__20240313_122752402_R25v40</t>
  </si>
  <si>
    <t>entre 35 et 40</t>
  </si>
  <si>
    <t>Basler_acA720-520uc__40068684__20240313_122822418_ctrl</t>
  </si>
  <si>
    <t>reponse tot</t>
  </si>
  <si>
    <t>Basler_acA720-520uc__40068684__20240601_113124499_R25v40</t>
  </si>
  <si>
    <t>Basler_acA720-520uc__40068684__20240601_114219192_R25v10</t>
  </si>
  <si>
    <t>Basler_acA720-520uc__40068684__20240601_115245134_R15v40</t>
  </si>
  <si>
    <t>Basler_acA720-520uc__40068684__20240601_120236546_R15v10</t>
  </si>
  <si>
    <t>Basler_acA720-520uc__40068684__20240601_121248239_R07v40</t>
  </si>
  <si>
    <t>Basler_acA720-520uc__40068684__20240601_123242532_R25v40_2</t>
  </si>
  <si>
    <t>Basler_acA720-520uc__40068684__20240601_122354413_R07v10</t>
  </si>
  <si>
    <t>rep avant la première stim</t>
  </si>
  <si>
    <t>Basler_acA720-520uc__40068684__20240601_124530715_R25v10_2</t>
  </si>
  <si>
    <t>Basler_acA720-520uc__40068684__20240601_142207615_R15v40</t>
  </si>
  <si>
    <t>Basler_acA720-520uc__40068684__20240601_143239921_R15v10</t>
  </si>
  <si>
    <t>pas sur</t>
  </si>
  <si>
    <t>Basler_acA720-520uc__40068684__20240601_144211350_R07v40</t>
  </si>
  <si>
    <t>Basler_acA720-520uc__40068684__20240601_150210088_R07v10</t>
  </si>
  <si>
    <t>Basler_acA720-520uc__40068684__20240601_151256669_R25v40</t>
  </si>
  <si>
    <t>Basler_acA720-520uc__40068684__20240601_152300337_R25v10</t>
  </si>
  <si>
    <t>Basler_acA720-520uc__40068684__20240601_154430966_R15v10_2</t>
  </si>
  <si>
    <t>Basler_acA720-520uc__40068684__20240601_153421323_R15v40_2</t>
  </si>
  <si>
    <t>Basler_acA720-520uc__40068684__20240601_160408113_R07v40</t>
  </si>
  <si>
    <t>Basler_acA720-520uc__40068684__20240601_161435786_R07v10</t>
  </si>
  <si>
    <t>Basler_acA720-520uc__40068684__20240601_162401772_R25v40</t>
  </si>
  <si>
    <t>Basler_acA720-520uc__40068684__20240601_163426179_R25v10</t>
  </si>
  <si>
    <t>pas sur peut etre reponse 754</t>
  </si>
  <si>
    <t>Basler_acA720-520uc__40068684__20240601_164405773_R15v40</t>
  </si>
  <si>
    <t>Basler_acA720-520uc__40068684__20240601_165436725_R15v10</t>
  </si>
  <si>
    <t>Basler_acA720-520uc__40068684__20240601_171500065_R07v10_2</t>
  </si>
  <si>
    <t>Basler_acA720-520uc__40068684__20240601_170439251_R07v40_2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</si>
</sst>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color theme="1"/>
      <name val="Arial"/>
    </font>
    <font>
      <sz val="11"/>
      <name val="Arial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 applyAlignment="1">
      <alignment readingOrder="1"/>
    </xf>
    <xf numFmtId="0" fontId="2" fillId="2" borderId="0" xfId="0" applyFont="1" applyFill="1"/>
    <xf numFmtId="0" fontId="2" fillId="3" borderId="0" xfId="0" applyFont="1" applyFill="1"/>
    <xf numFmtId="0" fontId="1" fillId="3" borderId="0" xfId="0" applyFont="1" applyFill="1" applyAlignment="1">
      <alignment readingOrder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readingOrder="1"/>
    </xf>
    <xf numFmtId="0" fontId="2" fillId="4" borderId="0" xfId="0" applyFont="1" applyFill="1"/>
    <xf numFmtId="0" fontId="0" fillId="4" borderId="0" xfId="0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78"/>
  <sheetViews>
    <sheetView tabSelected="1" topLeftCell="A52" workbookViewId="0">
      <selection activeCell="C64" sqref="C64"/>
    </sheetView>
  </sheetViews>
  <sheetFormatPr baseColWidth="10" defaultColWidth="9.09765625" defaultRowHeight="13.8"/>
  <cols>
    <col min="1" max="1" width="74.8984375" style="1" customWidth="1"/>
    <col min="2" max="2" width="9.09765625" style="1" bestFit="1" customWidth="1"/>
    <col min="3" max="3" width="4.69921875" style="1" bestFit="1" customWidth="1"/>
    <col min="4" max="4" width="5.09765625" style="1" bestFit="1" customWidth="1"/>
    <col min="5" max="5" width="5.09765625" style="1" customWidth="1"/>
    <col min="6" max="6" width="4.69921875" style="1" bestFit="1" customWidth="1"/>
    <col min="7" max="7" width="10" style="1" customWidth="1"/>
    <col min="8" max="8" width="5.8984375" style="1" bestFit="1" customWidth="1"/>
    <col min="9" max="9" width="3.19921875" style="1" bestFit="1" customWidth="1"/>
    <col min="10" max="10" width="9.09765625" style="1"/>
    <col min="11" max="11" width="12.19921875" style="1" bestFit="1" customWidth="1"/>
    <col min="12" max="12" width="14.09765625" style="1" bestFit="1" customWidth="1"/>
    <col min="13" max="13" width="13" style="1" bestFit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</row>
    <row r="2" spans="1:14">
      <c r="A2" s="4" t="s">
        <v>16</v>
      </c>
      <c r="B2" s="4">
        <v>1</v>
      </c>
      <c r="C2" s="4">
        <v>10</v>
      </c>
      <c r="D2" s="4">
        <v>0</v>
      </c>
      <c r="E2" s="4">
        <v>0</v>
      </c>
      <c r="F2" s="3">
        <v>75</v>
      </c>
      <c r="G2" s="4"/>
      <c r="H2" s="4">
        <v>1</v>
      </c>
      <c r="I2" s="4">
        <v>1</v>
      </c>
      <c r="J2" s="4"/>
      <c r="K2" s="4">
        <v>236</v>
      </c>
      <c r="L2" s="4"/>
      <c r="M2" s="4">
        <v>1000</v>
      </c>
      <c r="N2" s="4"/>
    </row>
    <row r="3" spans="1:14">
      <c r="A3" s="4" t="s">
        <v>17</v>
      </c>
      <c r="B3" s="4">
        <v>1</v>
      </c>
      <c r="C3" s="4">
        <v>40</v>
      </c>
      <c r="D3" s="4">
        <v>0</v>
      </c>
      <c r="E3" s="4">
        <v>1</v>
      </c>
      <c r="F3" s="3">
        <v>75</v>
      </c>
      <c r="G3" s="4" t="s">
        <v>14</v>
      </c>
      <c r="H3" s="4">
        <v>1</v>
      </c>
      <c r="I3" s="4">
        <v>1</v>
      </c>
      <c r="J3" s="4"/>
      <c r="K3" s="4">
        <v>77</v>
      </c>
      <c r="L3" s="4"/>
      <c r="M3" s="4">
        <v>55</v>
      </c>
      <c r="N3" s="4"/>
    </row>
    <row r="4" spans="1:14">
      <c r="A4" s="4" t="s">
        <v>18</v>
      </c>
      <c r="B4" s="4">
        <v>1</v>
      </c>
      <c r="C4" s="4">
        <v>10</v>
      </c>
      <c r="D4" s="4">
        <v>0</v>
      </c>
      <c r="E4" s="4">
        <v>1</v>
      </c>
      <c r="F4" s="3">
        <v>150</v>
      </c>
      <c r="G4" s="9" t="s">
        <v>19</v>
      </c>
      <c r="H4" s="4">
        <v>1</v>
      </c>
      <c r="I4" s="4">
        <v>1</v>
      </c>
      <c r="J4" s="4"/>
      <c r="K4" s="4">
        <v>236</v>
      </c>
      <c r="L4" s="4"/>
      <c r="M4" s="4">
        <v>209</v>
      </c>
      <c r="N4" s="4"/>
    </row>
    <row r="5" spans="1:14">
      <c r="A5" s="4" t="s">
        <v>20</v>
      </c>
      <c r="B5" s="4">
        <v>1</v>
      </c>
      <c r="C5" s="4">
        <v>40</v>
      </c>
      <c r="D5" s="4">
        <v>0</v>
      </c>
      <c r="E5" s="4">
        <v>1</v>
      </c>
      <c r="F5" s="3">
        <v>150</v>
      </c>
      <c r="G5" s="9"/>
      <c r="H5" s="4">
        <v>1</v>
      </c>
      <c r="I5" s="4">
        <v>1</v>
      </c>
      <c r="J5" s="4"/>
      <c r="K5" s="4">
        <v>76</v>
      </c>
      <c r="L5" s="4"/>
      <c r="M5" s="4">
        <v>56</v>
      </c>
      <c r="N5" s="4"/>
    </row>
    <row r="6" spans="1:14">
      <c r="A6" s="4" t="s">
        <v>21</v>
      </c>
      <c r="B6" s="4">
        <v>1</v>
      </c>
      <c r="C6" s="4">
        <v>10</v>
      </c>
      <c r="D6" s="4">
        <v>1</v>
      </c>
      <c r="E6" s="4">
        <v>1</v>
      </c>
      <c r="F6" s="3">
        <v>250</v>
      </c>
      <c r="G6" s="9"/>
      <c r="H6" s="4">
        <v>1</v>
      </c>
      <c r="I6" s="4">
        <v>1</v>
      </c>
      <c r="J6" s="4"/>
      <c r="K6" s="4">
        <v>236</v>
      </c>
      <c r="L6" s="4"/>
      <c r="M6" s="4">
        <v>183</v>
      </c>
      <c r="N6" s="4"/>
    </row>
    <row r="7" spans="1:14">
      <c r="A7" s="4" t="s">
        <v>22</v>
      </c>
      <c r="B7" s="4">
        <v>1</v>
      </c>
      <c r="C7" s="4">
        <v>40</v>
      </c>
      <c r="D7" s="4">
        <v>1</v>
      </c>
      <c r="E7" s="4">
        <v>1</v>
      </c>
      <c r="F7" s="3">
        <v>250</v>
      </c>
      <c r="G7" s="4"/>
      <c r="H7" s="4">
        <v>1</v>
      </c>
      <c r="I7" s="4">
        <v>1</v>
      </c>
      <c r="J7" s="4"/>
      <c r="K7" s="4">
        <v>77</v>
      </c>
      <c r="L7" s="4"/>
      <c r="M7" s="4">
        <v>48</v>
      </c>
      <c r="N7" s="4"/>
    </row>
    <row r="8" spans="1:14">
      <c r="A8" s="4" t="s">
        <v>23</v>
      </c>
      <c r="B8" s="4">
        <v>1</v>
      </c>
      <c r="C8" s="4">
        <v>10</v>
      </c>
      <c r="D8" s="4">
        <v>0</v>
      </c>
      <c r="E8" s="4">
        <v>1</v>
      </c>
      <c r="F8" s="3">
        <v>75</v>
      </c>
      <c r="G8" s="4"/>
      <c r="H8" s="4">
        <v>1</v>
      </c>
      <c r="I8" s="4">
        <v>1</v>
      </c>
      <c r="J8" s="4"/>
      <c r="K8" s="4">
        <v>236</v>
      </c>
      <c r="L8" s="4"/>
      <c r="M8" s="4">
        <v>206</v>
      </c>
      <c r="N8" s="4"/>
    </row>
    <row r="9" spans="1:14">
      <c r="A9" s="4" t="s">
        <v>24</v>
      </c>
      <c r="B9" s="4">
        <v>1</v>
      </c>
      <c r="C9" s="4">
        <v>40</v>
      </c>
      <c r="D9" s="4">
        <v>0</v>
      </c>
      <c r="E9" s="4">
        <v>1</v>
      </c>
      <c r="F9" s="3">
        <v>75</v>
      </c>
      <c r="G9" s="4" t="s">
        <v>25</v>
      </c>
      <c r="H9" s="4">
        <v>1</v>
      </c>
      <c r="I9" s="4">
        <v>1</v>
      </c>
      <c r="J9" s="4"/>
      <c r="K9" s="4">
        <v>76</v>
      </c>
      <c r="L9" s="4"/>
      <c r="M9" s="4">
        <v>52</v>
      </c>
      <c r="N9" s="4"/>
    </row>
    <row r="10" spans="1:14">
      <c r="A10" s="6" t="s">
        <v>26</v>
      </c>
      <c r="B10" s="5">
        <v>2</v>
      </c>
      <c r="C10" s="6">
        <v>10</v>
      </c>
      <c r="D10" s="5">
        <v>0</v>
      </c>
      <c r="E10" s="5"/>
      <c r="F10" s="5">
        <v>150</v>
      </c>
      <c r="G10" s="10" t="s">
        <v>27</v>
      </c>
      <c r="H10" s="5">
        <v>1</v>
      </c>
      <c r="I10" s="5">
        <v>2</v>
      </c>
      <c r="J10" s="5"/>
      <c r="K10" s="5">
        <v>223</v>
      </c>
      <c r="L10" s="5"/>
      <c r="M10" s="5">
        <v>194</v>
      </c>
    </row>
    <row r="11" spans="1:14">
      <c r="A11" s="6" t="s">
        <v>28</v>
      </c>
      <c r="B11" s="5">
        <v>2</v>
      </c>
      <c r="C11" s="6">
        <v>40</v>
      </c>
      <c r="D11" s="5">
        <v>0</v>
      </c>
      <c r="E11" s="5"/>
      <c r="F11" s="5">
        <v>150</v>
      </c>
      <c r="G11" s="6" t="s">
        <v>29</v>
      </c>
      <c r="H11" s="5">
        <v>1</v>
      </c>
      <c r="I11" s="5">
        <v>2</v>
      </c>
      <c r="J11" s="5"/>
      <c r="K11" s="5">
        <v>76</v>
      </c>
      <c r="L11" s="5"/>
      <c r="M11" s="5">
        <v>52</v>
      </c>
    </row>
    <row r="12" spans="1:14">
      <c r="A12" s="6" t="s">
        <v>30</v>
      </c>
      <c r="B12" s="5">
        <v>2</v>
      </c>
      <c r="C12" s="6">
        <v>10</v>
      </c>
      <c r="D12" s="5">
        <v>0</v>
      </c>
      <c r="E12" s="5"/>
      <c r="F12" s="5">
        <v>75</v>
      </c>
      <c r="G12" s="6"/>
      <c r="H12" s="5">
        <v>1</v>
      </c>
      <c r="I12" s="5">
        <v>2</v>
      </c>
      <c r="J12" s="5"/>
      <c r="K12" s="5">
        <v>236</v>
      </c>
      <c r="L12" s="5"/>
      <c r="M12" s="5">
        <v>1000</v>
      </c>
    </row>
    <row r="13" spans="1:14">
      <c r="A13" s="6" t="s">
        <v>31</v>
      </c>
      <c r="B13" s="5">
        <v>2</v>
      </c>
      <c r="C13" s="6">
        <v>40</v>
      </c>
      <c r="D13" s="5">
        <v>0</v>
      </c>
      <c r="E13" s="5"/>
      <c r="F13" s="5">
        <v>75</v>
      </c>
      <c r="G13" s="6"/>
      <c r="H13" s="5">
        <v>1</v>
      </c>
      <c r="I13" s="5">
        <v>2</v>
      </c>
      <c r="J13" s="5"/>
      <c r="K13" s="5">
        <v>76</v>
      </c>
      <c r="L13" s="5"/>
      <c r="M13" s="5">
        <v>48</v>
      </c>
    </row>
    <row r="14" spans="1:14">
      <c r="A14" s="5" t="s">
        <v>32</v>
      </c>
      <c r="B14" s="5">
        <v>2</v>
      </c>
      <c r="C14" s="5">
        <v>10</v>
      </c>
      <c r="D14" s="5">
        <v>1</v>
      </c>
      <c r="E14" s="5"/>
      <c r="F14" s="5">
        <v>250</v>
      </c>
      <c r="G14" s="5"/>
      <c r="H14" s="5">
        <v>1</v>
      </c>
      <c r="I14" s="5">
        <v>2</v>
      </c>
      <c r="J14" s="5"/>
      <c r="K14" s="5">
        <v>236</v>
      </c>
      <c r="L14" s="5"/>
      <c r="M14" s="5">
        <v>183</v>
      </c>
    </row>
    <row r="15" spans="1:14">
      <c r="A15" s="5" t="s">
        <v>33</v>
      </c>
      <c r="B15" s="5">
        <v>2</v>
      </c>
      <c r="C15" s="5">
        <v>40</v>
      </c>
      <c r="D15" s="5">
        <v>1</v>
      </c>
      <c r="E15" s="5"/>
      <c r="F15" s="5">
        <v>250</v>
      </c>
      <c r="G15" s="5"/>
      <c r="H15" s="5">
        <v>1</v>
      </c>
      <c r="I15" s="5">
        <v>2</v>
      </c>
      <c r="J15" s="5"/>
      <c r="K15" s="5">
        <v>76</v>
      </c>
      <c r="L15" s="5"/>
      <c r="M15" s="5">
        <v>34</v>
      </c>
    </row>
    <row r="16" spans="1:14">
      <c r="A16" s="5" t="s">
        <v>34</v>
      </c>
      <c r="B16" s="5">
        <v>2</v>
      </c>
      <c r="C16" s="5">
        <v>10</v>
      </c>
      <c r="D16" s="5">
        <v>0</v>
      </c>
      <c r="E16" s="5"/>
      <c r="F16" s="5">
        <v>150</v>
      </c>
      <c r="G16" s="5"/>
      <c r="H16" s="5">
        <v>2</v>
      </c>
      <c r="I16" s="5">
        <v>2</v>
      </c>
      <c r="J16" s="5"/>
      <c r="K16" s="5">
        <v>236</v>
      </c>
      <c r="L16" s="5"/>
      <c r="M16" s="5">
        <v>233</v>
      </c>
    </row>
    <row r="17" spans="1:13">
      <c r="A17" s="5" t="s">
        <v>35</v>
      </c>
      <c r="B17" s="5">
        <v>2</v>
      </c>
      <c r="C17" s="5">
        <v>40</v>
      </c>
      <c r="D17" s="5">
        <v>1</v>
      </c>
      <c r="E17" s="5"/>
      <c r="F17" s="5">
        <v>150</v>
      </c>
      <c r="G17" s="5"/>
      <c r="H17" s="5">
        <v>2</v>
      </c>
      <c r="I17" s="5">
        <v>2</v>
      </c>
      <c r="J17" s="5"/>
      <c r="K17" s="5">
        <v>76</v>
      </c>
      <c r="L17" s="5"/>
      <c r="M17" s="5">
        <v>47</v>
      </c>
    </row>
    <row r="18" spans="1:13">
      <c r="A18" s="5" t="s">
        <v>36</v>
      </c>
      <c r="B18" s="5">
        <v>2</v>
      </c>
      <c r="C18" s="5">
        <v>40</v>
      </c>
      <c r="D18" s="5">
        <v>-1</v>
      </c>
      <c r="E18" s="5">
        <v>0</v>
      </c>
      <c r="F18" s="5">
        <v>150</v>
      </c>
      <c r="G18" s="5"/>
      <c r="H18" s="5">
        <v>0</v>
      </c>
      <c r="I18" s="5">
        <v>2</v>
      </c>
      <c r="J18" s="5"/>
      <c r="K18" s="5">
        <v>-1</v>
      </c>
      <c r="L18" s="5"/>
      <c r="M18" s="5">
        <v>-1</v>
      </c>
    </row>
    <row r="19" spans="1:13">
      <c r="A19" s="11" t="s">
        <v>38</v>
      </c>
      <c r="B19" s="12">
        <v>3</v>
      </c>
      <c r="C19" s="11">
        <v>10</v>
      </c>
      <c r="D19" s="12">
        <v>0</v>
      </c>
      <c r="E19" s="12">
        <v>1</v>
      </c>
      <c r="F19" s="12">
        <v>150</v>
      </c>
      <c r="G19" s="11" t="s">
        <v>39</v>
      </c>
      <c r="H19" s="12">
        <v>1</v>
      </c>
      <c r="I19" s="12">
        <v>3</v>
      </c>
      <c r="J19" s="12"/>
      <c r="K19" s="12">
        <v>236</v>
      </c>
      <c r="L19" s="12"/>
      <c r="M19" s="12">
        <v>201</v>
      </c>
    </row>
    <row r="20" spans="1:13">
      <c r="A20" s="11" t="s">
        <v>40</v>
      </c>
      <c r="B20" s="12">
        <v>3</v>
      </c>
      <c r="C20" s="11">
        <v>40</v>
      </c>
      <c r="D20" s="12">
        <v>0</v>
      </c>
      <c r="E20" s="12">
        <v>1</v>
      </c>
      <c r="F20" s="12">
        <v>150</v>
      </c>
      <c r="G20" s="11"/>
      <c r="H20" s="12">
        <v>1</v>
      </c>
      <c r="I20" s="12">
        <v>3</v>
      </c>
      <c r="J20" s="12"/>
      <c r="K20" s="12">
        <v>77</v>
      </c>
      <c r="L20" s="12"/>
      <c r="M20" s="12">
        <v>56</v>
      </c>
    </row>
    <row r="21" spans="1:13">
      <c r="A21" s="11" t="s">
        <v>41</v>
      </c>
      <c r="B21" s="12">
        <v>3</v>
      </c>
      <c r="C21" s="11">
        <v>10</v>
      </c>
      <c r="D21" s="12">
        <v>1</v>
      </c>
      <c r="E21" s="12"/>
      <c r="F21" s="12">
        <v>250</v>
      </c>
      <c r="G21" s="13"/>
      <c r="H21" s="12">
        <v>1</v>
      </c>
      <c r="I21" s="12">
        <v>3</v>
      </c>
      <c r="J21" s="12"/>
      <c r="K21" s="12">
        <v>236</v>
      </c>
      <c r="L21" s="12"/>
      <c r="M21" s="12">
        <v>188</v>
      </c>
    </row>
    <row r="22" spans="1:13">
      <c r="A22" s="11" t="s">
        <v>42</v>
      </c>
      <c r="B22" s="12">
        <v>3</v>
      </c>
      <c r="C22" s="11">
        <v>40</v>
      </c>
      <c r="D22" s="12">
        <v>1</v>
      </c>
      <c r="E22" s="12"/>
      <c r="F22" s="12">
        <v>250</v>
      </c>
      <c r="G22" s="11"/>
      <c r="H22" s="12">
        <v>1</v>
      </c>
      <c r="I22" s="12">
        <v>3</v>
      </c>
      <c r="J22" s="12"/>
      <c r="K22" s="12">
        <v>77</v>
      </c>
      <c r="L22" s="12"/>
      <c r="M22" s="12">
        <v>46</v>
      </c>
    </row>
    <row r="23" spans="1:13">
      <c r="A23" s="11" t="s">
        <v>43</v>
      </c>
      <c r="B23" s="12">
        <v>3</v>
      </c>
      <c r="C23" s="11">
        <v>10</v>
      </c>
      <c r="D23" s="12">
        <v>0</v>
      </c>
      <c r="E23" s="12"/>
      <c r="F23" s="12">
        <v>75</v>
      </c>
      <c r="G23" s="11"/>
      <c r="H23" s="12">
        <v>1</v>
      </c>
      <c r="I23" s="12">
        <v>3</v>
      </c>
      <c r="J23" s="12"/>
      <c r="K23" s="12">
        <v>236</v>
      </c>
      <c r="L23" s="12"/>
      <c r="M23" s="12">
        <v>1000</v>
      </c>
    </row>
    <row r="24" spans="1:13">
      <c r="A24" s="11" t="s">
        <v>44</v>
      </c>
      <c r="B24" s="12">
        <v>3</v>
      </c>
      <c r="C24" s="11">
        <v>40</v>
      </c>
      <c r="D24" s="12">
        <v>0</v>
      </c>
      <c r="E24" s="12"/>
      <c r="F24" s="12">
        <v>75</v>
      </c>
      <c r="G24" s="11"/>
      <c r="H24" s="12">
        <v>1</v>
      </c>
      <c r="I24" s="12">
        <v>3</v>
      </c>
      <c r="J24" s="12"/>
      <c r="K24" s="12">
        <v>77</v>
      </c>
      <c r="L24" s="12"/>
      <c r="M24" s="12">
        <v>376</v>
      </c>
    </row>
    <row r="25" spans="1:13">
      <c r="A25" s="12" t="s">
        <v>45</v>
      </c>
      <c r="B25" s="12">
        <v>3</v>
      </c>
      <c r="C25" s="12">
        <v>10</v>
      </c>
      <c r="D25" s="12">
        <v>0</v>
      </c>
      <c r="E25" s="12"/>
      <c r="F25" s="12">
        <v>150</v>
      </c>
      <c r="G25" s="12"/>
      <c r="H25" s="12">
        <v>2</v>
      </c>
      <c r="I25" s="12">
        <v>3</v>
      </c>
      <c r="J25" s="12"/>
      <c r="K25" s="12">
        <v>236</v>
      </c>
      <c r="L25" s="12"/>
      <c r="M25" s="12">
        <v>1000</v>
      </c>
    </row>
    <row r="26" spans="1:13">
      <c r="A26" s="12" t="s">
        <v>46</v>
      </c>
      <c r="B26" s="12">
        <v>3</v>
      </c>
      <c r="C26" s="12">
        <v>40</v>
      </c>
      <c r="D26" s="12">
        <v>0</v>
      </c>
      <c r="E26" s="12"/>
      <c r="F26" s="12">
        <v>150</v>
      </c>
      <c r="G26" s="12" t="s">
        <v>47</v>
      </c>
      <c r="H26" s="12">
        <v>2</v>
      </c>
      <c r="I26" s="12">
        <v>3</v>
      </c>
      <c r="J26" s="12"/>
      <c r="K26" s="12">
        <v>75</v>
      </c>
      <c r="L26" s="12"/>
      <c r="M26" s="12">
        <v>59</v>
      </c>
    </row>
    <row r="27" spans="1:13">
      <c r="A27" s="12" t="s">
        <v>48</v>
      </c>
      <c r="B27" s="12">
        <v>3</v>
      </c>
      <c r="C27" s="12">
        <v>40</v>
      </c>
      <c r="D27" s="12">
        <v>-1</v>
      </c>
      <c r="E27" s="12"/>
      <c r="F27" s="12">
        <v>150</v>
      </c>
      <c r="G27" s="12"/>
      <c r="H27" s="12">
        <v>0</v>
      </c>
      <c r="I27" s="12">
        <v>3</v>
      </c>
      <c r="J27" s="12"/>
      <c r="K27" s="12">
        <v>-1</v>
      </c>
      <c r="L27" s="12"/>
      <c r="M27" s="12">
        <v>-1</v>
      </c>
    </row>
    <row r="28" spans="1:13">
      <c r="A28" s="6" t="s">
        <v>49</v>
      </c>
      <c r="B28" s="5">
        <v>4</v>
      </c>
      <c r="C28" s="6">
        <v>10</v>
      </c>
      <c r="D28" s="5"/>
      <c r="E28" s="5"/>
      <c r="F28" s="5">
        <v>250</v>
      </c>
      <c r="G28" s="6"/>
      <c r="H28" s="5">
        <v>1</v>
      </c>
      <c r="I28" s="5">
        <v>4</v>
      </c>
      <c r="J28" s="5"/>
      <c r="K28" s="5">
        <v>238</v>
      </c>
      <c r="L28" s="5"/>
      <c r="M28" s="5">
        <v>195</v>
      </c>
    </row>
    <row r="29" spans="1:13">
      <c r="A29" s="6" t="s">
        <v>50</v>
      </c>
      <c r="B29" s="5">
        <v>4</v>
      </c>
      <c r="C29" s="6">
        <v>40</v>
      </c>
      <c r="D29" s="5"/>
      <c r="E29" s="5"/>
      <c r="F29" s="5">
        <v>250</v>
      </c>
      <c r="G29" s="6" t="s">
        <v>51</v>
      </c>
      <c r="H29" s="5">
        <v>1</v>
      </c>
      <c r="I29" s="5">
        <v>4</v>
      </c>
      <c r="J29" s="5"/>
      <c r="K29" s="5">
        <v>77</v>
      </c>
      <c r="L29" s="5"/>
      <c r="M29" s="5">
        <v>40</v>
      </c>
    </row>
    <row r="30" spans="1:13">
      <c r="A30" s="6" t="s">
        <v>52</v>
      </c>
      <c r="B30" s="5">
        <v>4</v>
      </c>
      <c r="C30" s="6">
        <v>10</v>
      </c>
      <c r="D30" s="5"/>
      <c r="E30" s="5"/>
      <c r="F30" s="5">
        <v>150</v>
      </c>
      <c r="G30" s="10"/>
      <c r="H30" s="5">
        <v>1</v>
      </c>
      <c r="I30" s="5">
        <v>4</v>
      </c>
      <c r="J30" s="5"/>
      <c r="K30" s="5">
        <v>236</v>
      </c>
      <c r="L30" s="5"/>
      <c r="M30" s="5">
        <v>208</v>
      </c>
    </row>
    <row r="31" spans="1:13">
      <c r="A31" s="6" t="s">
        <v>53</v>
      </c>
      <c r="B31" s="5">
        <v>4</v>
      </c>
      <c r="C31" s="6">
        <v>40</v>
      </c>
      <c r="D31" s="5"/>
      <c r="E31" s="5"/>
      <c r="F31" s="5">
        <v>150</v>
      </c>
      <c r="G31" s="6"/>
      <c r="H31" s="5">
        <v>1</v>
      </c>
      <c r="I31" s="5">
        <v>4</v>
      </c>
      <c r="J31" s="5"/>
      <c r="K31" s="5">
        <v>76</v>
      </c>
      <c r="L31" s="5"/>
      <c r="M31" s="5">
        <v>52</v>
      </c>
    </row>
    <row r="32" spans="1:13">
      <c r="A32" s="6" t="s">
        <v>54</v>
      </c>
      <c r="B32" s="5">
        <v>4</v>
      </c>
      <c r="C32" s="6">
        <v>10</v>
      </c>
      <c r="D32" s="5"/>
      <c r="E32" s="5"/>
      <c r="F32" s="5">
        <v>75</v>
      </c>
      <c r="G32" s="6"/>
      <c r="H32" s="5">
        <v>1</v>
      </c>
      <c r="I32" s="5">
        <v>4</v>
      </c>
      <c r="J32" s="5"/>
      <c r="K32" s="5">
        <v>236</v>
      </c>
      <c r="L32" s="5"/>
      <c r="M32" s="5">
        <v>205</v>
      </c>
    </row>
    <row r="33" spans="1:13">
      <c r="A33" s="6" t="s">
        <v>55</v>
      </c>
      <c r="B33" s="5">
        <v>4</v>
      </c>
      <c r="C33" s="6">
        <v>40</v>
      </c>
      <c r="D33" s="5"/>
      <c r="E33" s="5"/>
      <c r="F33" s="5">
        <v>75</v>
      </c>
      <c r="G33" s="6"/>
      <c r="H33" s="5">
        <v>1</v>
      </c>
      <c r="I33" s="5">
        <v>4</v>
      </c>
      <c r="J33" s="5"/>
      <c r="K33" s="5">
        <v>76</v>
      </c>
      <c r="L33" s="5"/>
      <c r="M33" s="5">
        <v>40</v>
      </c>
    </row>
    <row r="34" spans="1:13">
      <c r="A34" s="5" t="s">
        <v>56</v>
      </c>
      <c r="B34" s="5">
        <v>4</v>
      </c>
      <c r="C34" s="5">
        <v>10</v>
      </c>
      <c r="D34" s="5"/>
      <c r="E34" s="5"/>
      <c r="F34" s="5">
        <v>250</v>
      </c>
      <c r="G34" s="5"/>
      <c r="H34" s="5">
        <v>2</v>
      </c>
      <c r="I34" s="5">
        <v>4</v>
      </c>
      <c r="J34" s="5"/>
      <c r="K34" s="5">
        <v>236</v>
      </c>
      <c r="L34" s="5"/>
      <c r="M34" s="5">
        <v>182</v>
      </c>
    </row>
    <row r="35" spans="1:13">
      <c r="A35" s="5" t="s">
        <v>57</v>
      </c>
      <c r="B35" s="5">
        <v>4</v>
      </c>
      <c r="C35" s="5">
        <v>40</v>
      </c>
      <c r="D35" s="5"/>
      <c r="E35" s="5"/>
      <c r="F35" s="5">
        <v>250</v>
      </c>
      <c r="G35" s="5"/>
      <c r="H35" s="5">
        <v>2</v>
      </c>
      <c r="I35" s="5">
        <v>4</v>
      </c>
      <c r="J35" s="5"/>
      <c r="K35" s="5">
        <v>77</v>
      </c>
      <c r="L35" s="5"/>
      <c r="M35" s="5">
        <v>29</v>
      </c>
    </row>
    <row r="36" spans="1:13">
      <c r="A36" s="5" t="s">
        <v>58</v>
      </c>
      <c r="B36" s="5">
        <v>4</v>
      </c>
      <c r="C36" s="5">
        <v>40</v>
      </c>
      <c r="D36" s="5"/>
      <c r="E36" s="5">
        <v>0</v>
      </c>
      <c r="F36" s="5">
        <v>250</v>
      </c>
      <c r="G36" s="5"/>
      <c r="H36" s="5">
        <v>0</v>
      </c>
      <c r="I36" s="5">
        <v>4</v>
      </c>
      <c r="J36" s="5"/>
      <c r="K36" s="5">
        <v>-1</v>
      </c>
      <c r="L36" s="5"/>
      <c r="M36" s="5">
        <v>-1</v>
      </c>
    </row>
    <row r="37" spans="1:13">
      <c r="A37" s="12" t="s">
        <v>59</v>
      </c>
      <c r="B37" s="12">
        <v>5</v>
      </c>
      <c r="C37" s="12">
        <v>10</v>
      </c>
      <c r="D37" s="12">
        <v>0</v>
      </c>
      <c r="E37" s="12"/>
      <c r="F37" s="12">
        <v>75</v>
      </c>
      <c r="G37" s="12"/>
      <c r="H37" s="12">
        <v>1</v>
      </c>
      <c r="I37" s="12">
        <v>5</v>
      </c>
      <c r="J37" s="12"/>
      <c r="K37" s="12">
        <v>236</v>
      </c>
      <c r="L37" s="12"/>
      <c r="M37" s="12">
        <v>1000</v>
      </c>
    </row>
    <row r="38" spans="1:13">
      <c r="A38" s="12" t="s">
        <v>60</v>
      </c>
      <c r="B38" s="12">
        <v>5</v>
      </c>
      <c r="C38" s="12">
        <v>40</v>
      </c>
      <c r="D38" s="12">
        <v>1</v>
      </c>
      <c r="E38" s="12"/>
      <c r="F38" s="12">
        <v>75</v>
      </c>
      <c r="G38" s="12"/>
      <c r="H38" s="12">
        <v>1</v>
      </c>
      <c r="I38" s="12">
        <v>5</v>
      </c>
      <c r="J38" s="12"/>
      <c r="K38" s="12">
        <v>76</v>
      </c>
      <c r="L38" s="12"/>
      <c r="M38" s="12">
        <v>48</v>
      </c>
    </row>
    <row r="39" spans="1:13">
      <c r="A39" s="12" t="s">
        <v>61</v>
      </c>
      <c r="B39" s="12">
        <v>5</v>
      </c>
      <c r="C39" s="12">
        <v>10</v>
      </c>
      <c r="D39" s="12">
        <v>1</v>
      </c>
      <c r="E39" s="12"/>
      <c r="F39" s="12">
        <v>250</v>
      </c>
      <c r="G39" s="12"/>
      <c r="H39" s="12">
        <v>1</v>
      </c>
      <c r="I39" s="12">
        <v>5</v>
      </c>
      <c r="J39" s="12"/>
      <c r="K39" s="12">
        <v>236</v>
      </c>
      <c r="L39" s="12"/>
      <c r="M39" s="12">
        <v>178</v>
      </c>
    </row>
    <row r="40" spans="1:13">
      <c r="A40" s="12" t="s">
        <v>62</v>
      </c>
      <c r="B40" s="12">
        <v>5</v>
      </c>
      <c r="C40" s="12">
        <v>40</v>
      </c>
      <c r="D40" s="12">
        <v>1</v>
      </c>
      <c r="E40" s="12"/>
      <c r="F40" s="12">
        <v>250</v>
      </c>
      <c r="G40" s="12" t="s">
        <v>63</v>
      </c>
      <c r="H40" s="12">
        <v>1</v>
      </c>
      <c r="I40" s="12">
        <v>5</v>
      </c>
      <c r="J40" s="12"/>
      <c r="K40" s="12">
        <v>76</v>
      </c>
      <c r="L40" s="12"/>
      <c r="M40" s="12">
        <v>43</v>
      </c>
    </row>
    <row r="41" spans="1:13">
      <c r="A41" s="12" t="s">
        <v>64</v>
      </c>
      <c r="B41" s="12">
        <v>5</v>
      </c>
      <c r="C41" s="12">
        <v>10</v>
      </c>
      <c r="D41" s="12">
        <v>0</v>
      </c>
      <c r="E41" s="12"/>
      <c r="F41" s="12">
        <v>150</v>
      </c>
      <c r="G41" s="12" t="s">
        <v>15</v>
      </c>
      <c r="H41" s="12">
        <v>1</v>
      </c>
      <c r="I41" s="12">
        <v>5</v>
      </c>
      <c r="J41" s="12"/>
      <c r="K41" s="12">
        <v>236</v>
      </c>
      <c r="L41" s="12"/>
      <c r="M41" s="12">
        <v>203</v>
      </c>
    </row>
    <row r="42" spans="1:13">
      <c r="A42" s="12" t="s">
        <v>65</v>
      </c>
      <c r="B42" s="12">
        <v>5</v>
      </c>
      <c r="C42" s="12">
        <v>40</v>
      </c>
      <c r="D42" s="12">
        <v>1</v>
      </c>
      <c r="E42" s="12"/>
      <c r="F42" s="12">
        <v>150</v>
      </c>
      <c r="G42" s="12" t="s">
        <v>66</v>
      </c>
      <c r="H42" s="12">
        <v>1</v>
      </c>
      <c r="I42" s="12">
        <v>5</v>
      </c>
      <c r="J42" s="12"/>
      <c r="K42" s="12">
        <v>76</v>
      </c>
      <c r="L42" s="12"/>
      <c r="M42" s="12">
        <v>32</v>
      </c>
    </row>
    <row r="43" spans="1:13">
      <c r="A43" s="12" t="s">
        <v>67</v>
      </c>
      <c r="B43" s="12">
        <v>5</v>
      </c>
      <c r="C43" s="12">
        <v>10</v>
      </c>
      <c r="D43" s="12"/>
      <c r="E43" s="12"/>
      <c r="F43" s="12">
        <v>75</v>
      </c>
      <c r="G43" s="12"/>
      <c r="H43" s="12">
        <v>2</v>
      </c>
      <c r="I43" s="12">
        <v>5</v>
      </c>
      <c r="J43" s="12"/>
      <c r="K43" s="12">
        <v>236</v>
      </c>
      <c r="L43" s="12"/>
      <c r="M43" s="12">
        <v>1000</v>
      </c>
    </row>
    <row r="44" spans="1:13">
      <c r="A44" s="12" t="s">
        <v>68</v>
      </c>
      <c r="B44" s="12">
        <v>5</v>
      </c>
      <c r="C44" s="12">
        <v>40</v>
      </c>
      <c r="D44" s="12"/>
      <c r="E44" s="12"/>
      <c r="F44" s="12">
        <v>75</v>
      </c>
      <c r="G44" s="12"/>
      <c r="H44" s="12">
        <v>2</v>
      </c>
      <c r="I44" s="12">
        <v>5</v>
      </c>
      <c r="J44" s="12"/>
      <c r="K44" s="12">
        <v>76</v>
      </c>
      <c r="L44" s="12"/>
      <c r="M44" s="12">
        <v>47</v>
      </c>
    </row>
    <row r="45" spans="1:13">
      <c r="A45" s="12" t="s">
        <v>69</v>
      </c>
      <c r="B45" s="12">
        <v>5</v>
      </c>
      <c r="C45" s="12">
        <v>40</v>
      </c>
      <c r="D45" s="12"/>
      <c r="E45" s="12">
        <v>0</v>
      </c>
      <c r="F45" s="12"/>
      <c r="G45" s="12"/>
      <c r="H45" s="12">
        <v>0</v>
      </c>
      <c r="I45" s="12">
        <v>5</v>
      </c>
      <c r="J45" s="12"/>
      <c r="K45" s="12">
        <v>-1</v>
      </c>
      <c r="L45" s="12"/>
      <c r="M45" s="12">
        <v>-1</v>
      </c>
    </row>
    <row r="46" spans="1:13">
      <c r="A46" s="5" t="s">
        <v>70</v>
      </c>
      <c r="B46" s="5">
        <v>6</v>
      </c>
      <c r="C46" s="5">
        <v>10</v>
      </c>
      <c r="D46" s="5">
        <v>1</v>
      </c>
      <c r="E46" s="5"/>
      <c r="F46" s="5">
        <v>250</v>
      </c>
      <c r="G46" s="5" t="s">
        <v>71</v>
      </c>
      <c r="H46" s="5">
        <v>1</v>
      </c>
      <c r="I46" s="5">
        <v>6</v>
      </c>
      <c r="J46" s="5"/>
      <c r="K46" s="5">
        <v>236</v>
      </c>
      <c r="L46" s="5"/>
      <c r="M46" s="5">
        <v>166</v>
      </c>
    </row>
    <row r="47" spans="1:13">
      <c r="A47" s="5" t="s">
        <v>72</v>
      </c>
      <c r="B47" s="5">
        <v>6</v>
      </c>
      <c r="C47" s="5">
        <v>40</v>
      </c>
      <c r="D47" s="5">
        <v>1</v>
      </c>
      <c r="E47" s="5"/>
      <c r="F47" s="5">
        <v>250</v>
      </c>
      <c r="G47" s="5"/>
      <c r="H47" s="5">
        <v>1</v>
      </c>
      <c r="I47" s="5">
        <v>6</v>
      </c>
      <c r="J47" s="5"/>
      <c r="K47" s="5">
        <v>77</v>
      </c>
      <c r="L47" s="5"/>
      <c r="M47" s="5">
        <v>23</v>
      </c>
    </row>
    <row r="48" spans="1:13">
      <c r="A48" s="5" t="s">
        <v>73</v>
      </c>
      <c r="B48" s="5">
        <v>6</v>
      </c>
      <c r="C48" s="5">
        <v>10</v>
      </c>
      <c r="D48" s="5">
        <v>1</v>
      </c>
      <c r="E48" s="5"/>
      <c r="F48" s="5">
        <v>150</v>
      </c>
      <c r="G48" s="5"/>
      <c r="H48" s="5">
        <v>1</v>
      </c>
      <c r="I48" s="5">
        <v>6</v>
      </c>
      <c r="J48" s="5"/>
      <c r="K48" s="5">
        <v>236</v>
      </c>
      <c r="L48" s="5"/>
      <c r="M48" s="5">
        <v>196</v>
      </c>
    </row>
    <row r="49" spans="1:13">
      <c r="A49" s="5" t="s">
        <v>74</v>
      </c>
      <c r="B49" s="5">
        <v>6</v>
      </c>
      <c r="C49" s="5">
        <v>40</v>
      </c>
      <c r="D49" s="5">
        <v>1</v>
      </c>
      <c r="E49" s="5"/>
      <c r="F49" s="5">
        <v>150</v>
      </c>
      <c r="G49" s="5"/>
      <c r="H49" s="5">
        <v>1</v>
      </c>
      <c r="I49" s="5">
        <v>6</v>
      </c>
      <c r="J49" s="5"/>
      <c r="K49" s="5">
        <v>77</v>
      </c>
      <c r="L49" s="5"/>
      <c r="M49" s="5">
        <v>46</v>
      </c>
    </row>
    <row r="50" spans="1:13">
      <c r="A50" s="5" t="s">
        <v>75</v>
      </c>
      <c r="B50" s="5">
        <v>6</v>
      </c>
      <c r="C50" s="5">
        <v>10</v>
      </c>
      <c r="D50" s="5">
        <v>0</v>
      </c>
      <c r="E50" s="5"/>
      <c r="F50" s="5">
        <v>75</v>
      </c>
      <c r="G50" s="5"/>
      <c r="H50" s="5">
        <v>1</v>
      </c>
      <c r="I50" s="5">
        <v>6</v>
      </c>
      <c r="J50" s="5"/>
      <c r="K50" s="5">
        <v>236</v>
      </c>
      <c r="L50" s="5"/>
      <c r="M50" s="5">
        <v>431</v>
      </c>
    </row>
    <row r="51" spans="1:13">
      <c r="A51" s="5" t="s">
        <v>76</v>
      </c>
      <c r="B51" s="5">
        <v>6</v>
      </c>
      <c r="C51" s="5">
        <v>40</v>
      </c>
      <c r="D51" s="5">
        <v>0</v>
      </c>
      <c r="E51" s="5"/>
      <c r="F51" s="5">
        <v>75</v>
      </c>
      <c r="G51" s="5"/>
      <c r="H51" s="5">
        <v>1</v>
      </c>
      <c r="I51" s="5">
        <v>6</v>
      </c>
      <c r="J51" s="5"/>
      <c r="K51" s="5">
        <v>77</v>
      </c>
      <c r="L51" s="5"/>
      <c r="M51" s="5">
        <v>61</v>
      </c>
    </row>
    <row r="52" spans="1:13">
      <c r="A52" s="5" t="s">
        <v>77</v>
      </c>
      <c r="B52" s="5">
        <v>6</v>
      </c>
      <c r="C52" s="5">
        <v>10</v>
      </c>
      <c r="D52" s="5">
        <v>1</v>
      </c>
      <c r="E52" s="5"/>
      <c r="F52" s="5">
        <v>250</v>
      </c>
      <c r="G52" s="5" t="s">
        <v>78</v>
      </c>
      <c r="H52" s="5">
        <v>2</v>
      </c>
      <c r="I52" s="5">
        <v>6</v>
      </c>
      <c r="J52" s="5"/>
      <c r="K52" s="5">
        <v>236</v>
      </c>
      <c r="L52" s="5"/>
      <c r="M52" s="5">
        <v>174</v>
      </c>
    </row>
    <row r="53" spans="1:13">
      <c r="A53" s="5" t="s">
        <v>79</v>
      </c>
      <c r="B53" s="5">
        <v>6</v>
      </c>
      <c r="C53" s="5">
        <v>40</v>
      </c>
      <c r="D53" s="5">
        <v>1</v>
      </c>
      <c r="E53" s="5"/>
      <c r="F53" s="5">
        <v>250</v>
      </c>
      <c r="G53" s="5" t="s">
        <v>80</v>
      </c>
      <c r="H53" s="5">
        <v>2</v>
      </c>
      <c r="I53" s="5">
        <v>6</v>
      </c>
      <c r="J53" s="5"/>
      <c r="K53" s="5">
        <v>77</v>
      </c>
      <c r="L53" s="5"/>
      <c r="M53" s="5">
        <v>40</v>
      </c>
    </row>
    <row r="54" spans="1:13">
      <c r="A54" s="5" t="s">
        <v>81</v>
      </c>
      <c r="B54" s="5">
        <v>6</v>
      </c>
      <c r="C54" s="5">
        <v>40</v>
      </c>
      <c r="D54" s="5">
        <v>-1</v>
      </c>
      <c r="E54" s="5">
        <v>0</v>
      </c>
      <c r="F54" s="5">
        <v>250</v>
      </c>
      <c r="G54" s="5"/>
      <c r="H54" s="5">
        <v>0</v>
      </c>
      <c r="I54" s="5">
        <v>6</v>
      </c>
      <c r="J54" s="5"/>
      <c r="K54" s="5">
        <v>-1</v>
      </c>
      <c r="L54" s="5"/>
      <c r="M54" s="5">
        <v>-1</v>
      </c>
    </row>
    <row r="55" spans="1:13">
      <c r="A55" s="7" t="s">
        <v>83</v>
      </c>
      <c r="B55" s="4">
        <v>7</v>
      </c>
      <c r="C55" s="8">
        <v>40</v>
      </c>
      <c r="D55" s="4">
        <v>1</v>
      </c>
      <c r="E55" s="4">
        <v>1</v>
      </c>
      <c r="F55" s="4">
        <v>250</v>
      </c>
      <c r="G55" s="7" t="s">
        <v>82</v>
      </c>
      <c r="H55" s="4">
        <v>1</v>
      </c>
      <c r="I55" s="4">
        <v>7</v>
      </c>
      <c r="J55" s="4">
        <v>107</v>
      </c>
      <c r="K55" s="14">
        <f>(4/C55)*500+J55-80</f>
        <v>77</v>
      </c>
      <c r="L55" s="4">
        <v>131</v>
      </c>
      <c r="M55" s="4">
        <f>L55-J55</f>
        <v>24</v>
      </c>
    </row>
    <row r="56" spans="1:13">
      <c r="A56" s="7" t="s">
        <v>84</v>
      </c>
      <c r="B56" s="4">
        <v>7</v>
      </c>
      <c r="C56" s="7">
        <v>10</v>
      </c>
      <c r="D56" s="8">
        <v>1</v>
      </c>
      <c r="E56" s="8">
        <v>1</v>
      </c>
      <c r="F56" s="4">
        <v>250</v>
      </c>
      <c r="G56" s="4" t="s">
        <v>37</v>
      </c>
      <c r="H56" s="4">
        <v>1</v>
      </c>
      <c r="I56" s="4">
        <v>7</v>
      </c>
      <c r="J56" s="4">
        <v>107</v>
      </c>
      <c r="K56" s="14">
        <f>(4/C56)*500+J56-70</f>
        <v>237</v>
      </c>
      <c r="L56" s="4">
        <v>315</v>
      </c>
      <c r="M56" s="4">
        <f t="shared" ref="M56:M77" si="0">L56-J56</f>
        <v>208</v>
      </c>
    </row>
    <row r="57" spans="1:13">
      <c r="A57" s="7" t="s">
        <v>85</v>
      </c>
      <c r="B57" s="4">
        <v>7</v>
      </c>
      <c r="C57" s="8">
        <v>40</v>
      </c>
      <c r="D57" s="8">
        <v>1</v>
      </c>
      <c r="E57" s="8">
        <v>1</v>
      </c>
      <c r="F57" s="4">
        <v>150</v>
      </c>
      <c r="G57" s="4"/>
      <c r="H57" s="4">
        <v>1</v>
      </c>
      <c r="I57" s="4">
        <v>7</v>
      </c>
      <c r="J57" s="4">
        <v>107</v>
      </c>
      <c r="K57" s="14">
        <f t="shared" ref="K57:K61" si="1">(4/C57)*500+J57-80</f>
        <v>77</v>
      </c>
      <c r="L57" s="4">
        <v>161</v>
      </c>
      <c r="M57" s="4">
        <f t="shared" si="0"/>
        <v>54</v>
      </c>
    </row>
    <row r="58" spans="1:13">
      <c r="A58" s="4" t="s">
        <v>86</v>
      </c>
      <c r="B58" s="4">
        <v>7</v>
      </c>
      <c r="C58" s="4">
        <v>10</v>
      </c>
      <c r="D58" s="4">
        <v>0</v>
      </c>
      <c r="E58" s="4">
        <v>0</v>
      </c>
      <c r="F58" s="4">
        <v>150</v>
      </c>
      <c r="G58" s="4"/>
      <c r="H58" s="4">
        <v>1</v>
      </c>
      <c r="I58" s="4">
        <v>7</v>
      </c>
      <c r="J58" s="4">
        <v>107</v>
      </c>
      <c r="K58" s="14">
        <f>(4/C58)*500+J58-70</f>
        <v>237</v>
      </c>
      <c r="L58" s="4">
        <v>1000</v>
      </c>
      <c r="M58" s="4">
        <v>1000</v>
      </c>
    </row>
    <row r="59" spans="1:13">
      <c r="A59" s="4" t="s">
        <v>87</v>
      </c>
      <c r="B59" s="4">
        <v>7</v>
      </c>
      <c r="C59" s="4">
        <v>40</v>
      </c>
      <c r="D59" s="4">
        <v>1</v>
      </c>
      <c r="E59" s="4">
        <v>1</v>
      </c>
      <c r="F59" s="4">
        <v>75</v>
      </c>
      <c r="G59" s="4"/>
      <c r="H59" s="4">
        <v>1</v>
      </c>
      <c r="I59" s="4">
        <v>7</v>
      </c>
      <c r="J59" s="4">
        <v>107</v>
      </c>
      <c r="K59" s="14">
        <f t="shared" si="1"/>
        <v>77</v>
      </c>
      <c r="L59" s="4">
        <v>156</v>
      </c>
      <c r="M59" s="4">
        <f t="shared" si="0"/>
        <v>49</v>
      </c>
    </row>
    <row r="60" spans="1:13">
      <c r="A60" s="4" t="s">
        <v>89</v>
      </c>
      <c r="B60" s="4">
        <v>7</v>
      </c>
      <c r="C60" s="4">
        <v>10</v>
      </c>
      <c r="D60" s="4">
        <v>0</v>
      </c>
      <c r="E60" s="4">
        <v>0</v>
      </c>
      <c r="F60" s="4">
        <v>75</v>
      </c>
      <c r="G60" s="4"/>
      <c r="H60" s="4">
        <v>1</v>
      </c>
      <c r="I60" s="4">
        <v>7</v>
      </c>
      <c r="J60" s="4">
        <v>107</v>
      </c>
      <c r="K60" s="14">
        <f>(4/C60)*500+J60-70</f>
        <v>237</v>
      </c>
      <c r="L60" s="4">
        <v>1000</v>
      </c>
      <c r="M60" s="4">
        <v>1000</v>
      </c>
    </row>
    <row r="61" spans="1:13">
      <c r="A61" s="7" t="s">
        <v>88</v>
      </c>
      <c r="B61" s="4">
        <v>7</v>
      </c>
      <c r="C61" s="4">
        <v>40</v>
      </c>
      <c r="D61" s="4">
        <v>1</v>
      </c>
      <c r="E61" s="4">
        <v>1</v>
      </c>
      <c r="F61" s="4">
        <v>250</v>
      </c>
      <c r="G61" s="4"/>
      <c r="H61" s="4">
        <v>2</v>
      </c>
      <c r="I61" s="4">
        <v>7</v>
      </c>
      <c r="J61" s="4">
        <v>107</v>
      </c>
      <c r="K61" s="14">
        <f t="shared" si="1"/>
        <v>77</v>
      </c>
      <c r="L61" s="4">
        <v>141</v>
      </c>
      <c r="M61" s="4">
        <f t="shared" si="0"/>
        <v>34</v>
      </c>
    </row>
    <row r="62" spans="1:13">
      <c r="A62" s="4" t="s">
        <v>91</v>
      </c>
      <c r="B62" s="4">
        <v>7</v>
      </c>
      <c r="C62" s="4">
        <v>10</v>
      </c>
      <c r="D62" s="4">
        <v>1</v>
      </c>
      <c r="E62" s="4">
        <v>1</v>
      </c>
      <c r="F62" s="4">
        <v>250</v>
      </c>
      <c r="G62" s="4" t="s">
        <v>90</v>
      </c>
      <c r="H62" s="4">
        <v>2</v>
      </c>
      <c r="I62" s="4">
        <v>7</v>
      </c>
      <c r="J62" s="4">
        <v>107</v>
      </c>
      <c r="K62" s="14">
        <f>(4/C62)*500+J62-70</f>
        <v>237</v>
      </c>
      <c r="L62" s="4">
        <v>280</v>
      </c>
      <c r="M62" s="4">
        <f t="shared" si="0"/>
        <v>173</v>
      </c>
    </row>
    <row r="63" spans="1:13">
      <c r="A63" s="5" t="s">
        <v>92</v>
      </c>
      <c r="B63" s="5">
        <v>8</v>
      </c>
      <c r="C63" s="5">
        <v>40</v>
      </c>
      <c r="D63" s="5">
        <v>1</v>
      </c>
      <c r="E63" s="5">
        <v>1</v>
      </c>
      <c r="F63" s="5">
        <v>150</v>
      </c>
      <c r="G63" s="5" t="s">
        <v>13</v>
      </c>
      <c r="H63" s="5">
        <v>1</v>
      </c>
      <c r="I63" s="5">
        <v>8</v>
      </c>
      <c r="J63" s="5">
        <v>107</v>
      </c>
      <c r="K63" s="5">
        <f>(4/C55)*500+J55-80</f>
        <v>77</v>
      </c>
      <c r="L63" s="5">
        <v>152</v>
      </c>
      <c r="M63" s="5">
        <f t="shared" si="0"/>
        <v>45</v>
      </c>
    </row>
    <row r="64" spans="1:13">
      <c r="A64" s="5" t="s">
        <v>93</v>
      </c>
      <c r="B64" s="5">
        <v>8</v>
      </c>
      <c r="C64" s="5">
        <v>10</v>
      </c>
      <c r="D64" s="5">
        <v>0</v>
      </c>
      <c r="E64" s="5">
        <v>1</v>
      </c>
      <c r="F64" s="5">
        <v>150</v>
      </c>
      <c r="G64" s="5" t="s">
        <v>94</v>
      </c>
      <c r="H64" s="5">
        <v>1</v>
      </c>
      <c r="I64" s="5">
        <v>8</v>
      </c>
      <c r="J64" s="5">
        <v>107</v>
      </c>
      <c r="K64" s="5">
        <f>(4/C56)*500+J56-70</f>
        <v>237</v>
      </c>
      <c r="L64" s="5">
        <v>700</v>
      </c>
      <c r="M64" s="5">
        <f t="shared" si="0"/>
        <v>593</v>
      </c>
    </row>
    <row r="65" spans="1:13">
      <c r="A65" s="5" t="s">
        <v>95</v>
      </c>
      <c r="B65" s="5">
        <v>8</v>
      </c>
      <c r="C65" s="5">
        <v>40</v>
      </c>
      <c r="D65" s="5">
        <v>1</v>
      </c>
      <c r="E65" s="5">
        <v>1</v>
      </c>
      <c r="F65" s="5">
        <v>75</v>
      </c>
      <c r="G65" s="5"/>
      <c r="H65" s="5">
        <v>1</v>
      </c>
      <c r="I65" s="5">
        <v>8</v>
      </c>
      <c r="J65" s="5">
        <v>107</v>
      </c>
      <c r="K65" s="5">
        <f t="shared" ref="K64:K70" si="2">(4/C57)*500+J57-80</f>
        <v>77</v>
      </c>
      <c r="L65" s="5">
        <v>155</v>
      </c>
      <c r="M65" s="5">
        <f t="shared" si="0"/>
        <v>48</v>
      </c>
    </row>
    <row r="66" spans="1:13">
      <c r="A66" s="5" t="s">
        <v>96</v>
      </c>
      <c r="B66" s="5">
        <v>8</v>
      </c>
      <c r="C66" s="5">
        <v>10</v>
      </c>
      <c r="D66" s="5">
        <v>0</v>
      </c>
      <c r="E66" s="5">
        <v>0</v>
      </c>
      <c r="F66" s="5">
        <v>75</v>
      </c>
      <c r="G66" s="5"/>
      <c r="H66" s="5">
        <v>1</v>
      </c>
      <c r="I66" s="5">
        <v>8</v>
      </c>
      <c r="J66" s="5">
        <v>107</v>
      </c>
      <c r="K66" s="5">
        <f>(4/C58)*500+J58-70</f>
        <v>237</v>
      </c>
      <c r="L66" s="5">
        <v>1000</v>
      </c>
      <c r="M66" s="5">
        <v>1000</v>
      </c>
    </row>
    <row r="67" spans="1:13">
      <c r="A67" s="5" t="s">
        <v>97</v>
      </c>
      <c r="B67" s="5">
        <v>8</v>
      </c>
      <c r="C67" s="5">
        <v>40</v>
      </c>
      <c r="D67" s="5">
        <v>1</v>
      </c>
      <c r="E67" s="5">
        <v>1</v>
      </c>
      <c r="F67" s="5">
        <v>250</v>
      </c>
      <c r="G67" s="5"/>
      <c r="H67" s="5">
        <v>1</v>
      </c>
      <c r="I67" s="5">
        <v>8</v>
      </c>
      <c r="J67" s="5">
        <v>107</v>
      </c>
      <c r="K67" s="5">
        <f t="shared" si="2"/>
        <v>77</v>
      </c>
      <c r="L67" s="5">
        <v>131</v>
      </c>
      <c r="M67" s="5">
        <f t="shared" si="0"/>
        <v>24</v>
      </c>
    </row>
    <row r="68" spans="1:13">
      <c r="A68" s="5" t="s">
        <v>98</v>
      </c>
      <c r="B68" s="5">
        <v>8</v>
      </c>
      <c r="C68" s="5">
        <v>10</v>
      </c>
      <c r="D68" s="5">
        <v>1</v>
      </c>
      <c r="E68" s="5">
        <v>1</v>
      </c>
      <c r="F68" s="5">
        <v>250</v>
      </c>
      <c r="G68" s="5"/>
      <c r="H68" s="5">
        <v>1</v>
      </c>
      <c r="I68" s="5">
        <v>8</v>
      </c>
      <c r="J68" s="5">
        <v>107</v>
      </c>
      <c r="K68" s="5">
        <f>(4/C60)*500+J60-70</f>
        <v>237</v>
      </c>
      <c r="L68" s="5">
        <v>286</v>
      </c>
      <c r="M68" s="5">
        <f t="shared" si="0"/>
        <v>179</v>
      </c>
    </row>
    <row r="69" spans="1:13">
      <c r="A69" s="5" t="s">
        <v>100</v>
      </c>
      <c r="B69" s="5">
        <v>8</v>
      </c>
      <c r="C69" s="5">
        <v>40</v>
      </c>
      <c r="D69" s="5">
        <v>1</v>
      </c>
      <c r="E69" s="5">
        <v>1</v>
      </c>
      <c r="F69" s="5">
        <v>150</v>
      </c>
      <c r="G69" s="5"/>
      <c r="H69" s="5">
        <v>2</v>
      </c>
      <c r="I69" s="5">
        <v>8</v>
      </c>
      <c r="J69" s="5">
        <v>107</v>
      </c>
      <c r="K69" s="5">
        <f t="shared" si="2"/>
        <v>77</v>
      </c>
      <c r="L69" s="5">
        <v>149</v>
      </c>
      <c r="M69" s="5">
        <f t="shared" si="0"/>
        <v>42</v>
      </c>
    </row>
    <row r="70" spans="1:13">
      <c r="A70" s="5" t="s">
        <v>99</v>
      </c>
      <c r="B70" s="5">
        <v>8</v>
      </c>
      <c r="C70" s="5">
        <v>10</v>
      </c>
      <c r="D70" s="5">
        <v>0</v>
      </c>
      <c r="E70" s="5">
        <v>0</v>
      </c>
      <c r="F70" s="5">
        <v>150</v>
      </c>
      <c r="G70" s="5"/>
      <c r="H70" s="5">
        <v>2</v>
      </c>
      <c r="I70" s="5">
        <v>8</v>
      </c>
      <c r="J70" s="5">
        <v>107</v>
      </c>
      <c r="K70" s="5">
        <f>(4/C62)*500+J62-70</f>
        <v>237</v>
      </c>
      <c r="L70" s="5">
        <v>1000</v>
      </c>
      <c r="M70" s="5">
        <v>1000</v>
      </c>
    </row>
    <row r="71" spans="1:13">
      <c r="A71" s="7" t="s">
        <v>101</v>
      </c>
      <c r="B71" s="4">
        <v>9</v>
      </c>
      <c r="C71" s="8">
        <v>40</v>
      </c>
      <c r="D71" s="4">
        <v>1</v>
      </c>
      <c r="E71" s="4">
        <v>1</v>
      </c>
      <c r="F71" s="4">
        <v>75</v>
      </c>
      <c r="G71" s="7"/>
      <c r="H71" s="4">
        <v>1</v>
      </c>
      <c r="I71" s="4">
        <v>9</v>
      </c>
      <c r="J71" s="4">
        <v>107</v>
      </c>
      <c r="K71" s="14">
        <f>(4/C71)*500+J71-80</f>
        <v>77</v>
      </c>
      <c r="L71" s="4">
        <v>161</v>
      </c>
      <c r="M71" s="4">
        <f t="shared" si="0"/>
        <v>54</v>
      </c>
    </row>
    <row r="72" spans="1:13">
      <c r="A72" s="7" t="s">
        <v>102</v>
      </c>
      <c r="B72" s="4">
        <v>9</v>
      </c>
      <c r="C72" s="7">
        <v>10</v>
      </c>
      <c r="D72" s="8">
        <v>0</v>
      </c>
      <c r="E72" s="8">
        <v>0</v>
      </c>
      <c r="F72" s="4">
        <v>75</v>
      </c>
      <c r="G72" s="4"/>
      <c r="H72" s="4">
        <v>1</v>
      </c>
      <c r="I72" s="4">
        <v>9</v>
      </c>
      <c r="J72" s="4">
        <v>107</v>
      </c>
      <c r="K72" s="14">
        <f>(4/C72)*500+J72-70</f>
        <v>237</v>
      </c>
      <c r="L72" s="4">
        <v>1000</v>
      </c>
      <c r="M72" s="4">
        <v>1000</v>
      </c>
    </row>
    <row r="73" spans="1:13">
      <c r="A73" s="7" t="s">
        <v>103</v>
      </c>
      <c r="B73" s="4">
        <v>9</v>
      </c>
      <c r="C73" s="8">
        <v>40</v>
      </c>
      <c r="D73" s="8">
        <v>1</v>
      </c>
      <c r="E73" s="8">
        <v>1</v>
      </c>
      <c r="F73" s="4">
        <v>250</v>
      </c>
      <c r="G73" s="4"/>
      <c r="H73" s="4">
        <v>1</v>
      </c>
      <c r="I73" s="4">
        <v>9</v>
      </c>
      <c r="J73" s="4">
        <v>107</v>
      </c>
      <c r="K73" s="14">
        <f t="shared" ref="K73:K77" si="3">(4/C73)*500+J73-80</f>
        <v>77</v>
      </c>
      <c r="L73" s="4">
        <v>155</v>
      </c>
      <c r="M73" s="4">
        <f t="shared" si="0"/>
        <v>48</v>
      </c>
    </row>
    <row r="74" spans="1:13">
      <c r="A74" s="4" t="s">
        <v>104</v>
      </c>
      <c r="B74" s="4">
        <v>9</v>
      </c>
      <c r="C74" s="4">
        <v>10</v>
      </c>
      <c r="D74" s="4">
        <v>0</v>
      </c>
      <c r="E74" s="4">
        <v>0</v>
      </c>
      <c r="F74" s="4">
        <v>250</v>
      </c>
      <c r="G74" s="4" t="s">
        <v>105</v>
      </c>
      <c r="H74" s="4">
        <v>1</v>
      </c>
      <c r="I74" s="4">
        <v>9</v>
      </c>
      <c r="J74" s="4">
        <v>107</v>
      </c>
      <c r="K74" s="14">
        <f>(4/C74)*500+J74-70</f>
        <v>237</v>
      </c>
      <c r="L74" s="4">
        <v>1000</v>
      </c>
      <c r="M74" s="4">
        <v>1000</v>
      </c>
    </row>
    <row r="75" spans="1:13">
      <c r="A75" s="4" t="s">
        <v>106</v>
      </c>
      <c r="B75" s="4">
        <v>9</v>
      </c>
      <c r="C75" s="4">
        <v>40</v>
      </c>
      <c r="D75" s="4">
        <v>1</v>
      </c>
      <c r="E75" s="4">
        <v>1</v>
      </c>
      <c r="F75" s="4">
        <v>150</v>
      </c>
      <c r="G75" s="4"/>
      <c r="H75" s="4">
        <v>1</v>
      </c>
      <c r="I75" s="4">
        <v>9</v>
      </c>
      <c r="J75" s="4">
        <v>107</v>
      </c>
      <c r="K75" s="14">
        <f t="shared" si="3"/>
        <v>77</v>
      </c>
      <c r="L75" s="4">
        <v>150</v>
      </c>
      <c r="M75" s="4">
        <f t="shared" si="0"/>
        <v>43</v>
      </c>
    </row>
    <row r="76" spans="1:13">
      <c r="A76" s="4" t="s">
        <v>107</v>
      </c>
      <c r="B76" s="4">
        <v>9</v>
      </c>
      <c r="C76" s="4">
        <v>10</v>
      </c>
      <c r="D76" s="4">
        <v>0</v>
      </c>
      <c r="E76" s="4">
        <v>0</v>
      </c>
      <c r="F76" s="4">
        <v>150</v>
      </c>
      <c r="G76" s="4"/>
      <c r="H76" s="4">
        <v>1</v>
      </c>
      <c r="I76" s="4">
        <v>9</v>
      </c>
      <c r="J76" s="4">
        <v>107</v>
      </c>
      <c r="K76" s="14">
        <f>(4/C76)*500+J76-70</f>
        <v>237</v>
      </c>
      <c r="L76" s="4">
        <v>1000</v>
      </c>
      <c r="M76" s="4">
        <v>1000</v>
      </c>
    </row>
    <row r="77" spans="1:13">
      <c r="A77" s="7" t="s">
        <v>109</v>
      </c>
      <c r="B77" s="4">
        <v>9</v>
      </c>
      <c r="C77" s="4">
        <v>40</v>
      </c>
      <c r="D77" s="4">
        <v>1</v>
      </c>
      <c r="E77" s="4">
        <v>0</v>
      </c>
      <c r="F77" s="4">
        <v>75</v>
      </c>
      <c r="G77" s="4"/>
      <c r="H77" s="4">
        <v>2</v>
      </c>
      <c r="I77" s="4">
        <v>9</v>
      </c>
      <c r="J77" s="4">
        <v>107</v>
      </c>
      <c r="K77" s="14">
        <f t="shared" si="3"/>
        <v>77</v>
      </c>
      <c r="L77" s="4">
        <v>161</v>
      </c>
      <c r="M77" s="4">
        <f t="shared" si="0"/>
        <v>54</v>
      </c>
    </row>
    <row r="78" spans="1:13">
      <c r="A78" s="4" t="s">
        <v>108</v>
      </c>
      <c r="B78" s="4">
        <v>9</v>
      </c>
      <c r="C78" s="4">
        <v>10</v>
      </c>
      <c r="D78" s="4">
        <v>0</v>
      </c>
      <c r="E78" s="4">
        <v>0</v>
      </c>
      <c r="F78" s="4">
        <v>75</v>
      </c>
      <c r="G78" s="4"/>
      <c r="H78" s="4">
        <v>2</v>
      </c>
      <c r="I78" s="4">
        <v>9</v>
      </c>
      <c r="J78" s="4">
        <v>107</v>
      </c>
      <c r="K78" s="14">
        <f>(4/C78)*500+J78-70</f>
        <v>237</v>
      </c>
      <c r="L78" s="4">
        <v>1000</v>
      </c>
      <c r="M78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03_04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 Clemencon</cp:lastModifiedBy>
  <cp:revision/>
  <dcterms:created xsi:type="dcterms:W3CDTF">2024-02-14T16:56:16Z</dcterms:created>
  <dcterms:modified xsi:type="dcterms:W3CDTF">2024-06-01T21:21:39Z</dcterms:modified>
  <cp:category/>
  <cp:contentStatus/>
</cp:coreProperties>
</file>