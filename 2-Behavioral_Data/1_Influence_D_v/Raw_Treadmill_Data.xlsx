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PC265612\Downloads\"/>
    </mc:Choice>
  </mc:AlternateContent>
  <xr:revisionPtr revIDLastSave="0" documentId="13_ncr:1_{0E390506-30E5-4281-AB72-7590AB6425A0}" xr6:coauthVersionLast="47" xr6:coauthVersionMax="47" xr10:uidLastSave="{00000000-0000-0000-0000-000000000000}"/>
  <bookViews>
    <workbookView xWindow="28680" yWindow="-120" windowWidth="29040" windowHeight="15720" firstSheet="17" activeTab="30" xr2:uid="{00000000-000D-0000-FFFF-FFFF00000000}"/>
  </bookViews>
  <sheets>
    <sheet name="02_14" sheetId="1" r:id="rId1"/>
    <sheet name="02_15" sheetId="2" r:id="rId2"/>
    <sheet name="02_16" sheetId="3" r:id="rId3"/>
    <sheet name="02_17" sheetId="4" r:id="rId4"/>
    <sheet name="02_20" sheetId="7" r:id="rId5"/>
    <sheet name="02_21" sheetId="8" r:id="rId6"/>
    <sheet name="02_22" sheetId="9" r:id="rId7"/>
    <sheet name="02_23" sheetId="10" r:id="rId8"/>
    <sheet name="02_24" sheetId="11" r:id="rId9"/>
    <sheet name="02_25" sheetId="12" r:id="rId10"/>
    <sheet name="02_26" sheetId="13" r:id="rId11"/>
    <sheet name="02_27" sheetId="14" r:id="rId12"/>
    <sheet name="02_28" sheetId="15" r:id="rId13"/>
    <sheet name="02_29" sheetId="17" r:id="rId14"/>
    <sheet name="03_01" sheetId="18" r:id="rId15"/>
    <sheet name="03_02" sheetId="19" r:id="rId16"/>
    <sheet name="03_03" sheetId="20" r:id="rId17"/>
    <sheet name="03_04" sheetId="21" r:id="rId18"/>
    <sheet name="03_05" sheetId="22" r:id="rId19"/>
    <sheet name="03_06" sheetId="23" r:id="rId20"/>
    <sheet name="03_07" sheetId="24" r:id="rId21"/>
    <sheet name="03_08" sheetId="25" r:id="rId22"/>
    <sheet name="03_11" sheetId="26" r:id="rId23"/>
    <sheet name="03_12" sheetId="27" r:id="rId24"/>
    <sheet name="05_08" sheetId="28" r:id="rId25"/>
    <sheet name="05_09" sheetId="29" r:id="rId26"/>
    <sheet name="05_31" sheetId="31" r:id="rId27"/>
    <sheet name="06_01" sheetId="30" r:id="rId28"/>
    <sheet name="06_02" sheetId="32" r:id="rId29"/>
    <sheet name="06_03" sheetId="34" r:id="rId30"/>
    <sheet name="Summary" sheetId="5" r:id="rId31"/>
    <sheet name="06_04" sheetId="35" r:id="rId32"/>
    <sheet name="06_05" sheetId="36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2" i="36" l="1"/>
  <c r="M51" i="36"/>
  <c r="M50" i="36"/>
  <c r="M49" i="36"/>
  <c r="M48" i="36"/>
  <c r="F48" i="36"/>
  <c r="F49" i="36" s="1"/>
  <c r="F50" i="36" s="1"/>
  <c r="F51" i="36" s="1"/>
  <c r="F52" i="36" s="1"/>
  <c r="B48" i="36"/>
  <c r="B49" i="36" s="1"/>
  <c r="B50" i="36" s="1"/>
  <c r="B51" i="36" s="1"/>
  <c r="B52" i="36" s="1"/>
  <c r="M47" i="36"/>
  <c r="M32" i="36"/>
  <c r="M34" i="36"/>
  <c r="M33" i="36"/>
  <c r="M25" i="36"/>
  <c r="M27" i="36"/>
  <c r="M28" i="36"/>
  <c r="M46" i="36" l="1"/>
  <c r="M45" i="36"/>
  <c r="M44" i="36"/>
  <c r="M43" i="36"/>
  <c r="M42" i="36"/>
  <c r="F42" i="36"/>
  <c r="F43" i="36" s="1"/>
  <c r="B42" i="36"/>
  <c r="B43" i="36" s="1"/>
  <c r="B44" i="36" s="1"/>
  <c r="B45" i="36" s="1"/>
  <c r="B46" i="36" s="1"/>
  <c r="M41" i="36"/>
  <c r="M40" i="36"/>
  <c r="M39" i="36"/>
  <c r="M38" i="36"/>
  <c r="M37" i="36"/>
  <c r="M36" i="36"/>
  <c r="F36" i="36"/>
  <c r="F37" i="36" s="1"/>
  <c r="F38" i="36" s="1"/>
  <c r="F39" i="36" s="1"/>
  <c r="F40" i="36" s="1"/>
  <c r="B36" i="36"/>
  <c r="B37" i="36" s="1"/>
  <c r="B38" i="36" s="1"/>
  <c r="B39" i="36" s="1"/>
  <c r="B40" i="36" s="1"/>
  <c r="M35" i="36"/>
  <c r="F30" i="36"/>
  <c r="F31" i="36" s="1"/>
  <c r="B30" i="36"/>
  <c r="B31" i="36" s="1"/>
  <c r="B32" i="36" s="1"/>
  <c r="B33" i="36" s="1"/>
  <c r="B34" i="36" s="1"/>
  <c r="M23" i="36"/>
  <c r="M21" i="36"/>
  <c r="F21" i="36"/>
  <c r="F22" i="36" s="1"/>
  <c r="F23" i="36" s="1"/>
  <c r="F24" i="36" s="1"/>
  <c r="F25" i="36" s="1"/>
  <c r="F26" i="36" s="1"/>
  <c r="F27" i="36" s="1"/>
  <c r="F28" i="36" s="1"/>
  <c r="B21" i="36"/>
  <c r="B22" i="36" s="1"/>
  <c r="B23" i="36" s="1"/>
  <c r="B24" i="36" s="1"/>
  <c r="B25" i="36" s="1"/>
  <c r="B26" i="36" s="1"/>
  <c r="B27" i="36" s="1"/>
  <c r="B28" i="36" s="1"/>
  <c r="M19" i="36"/>
  <c r="M18" i="36"/>
  <c r="M17" i="36"/>
  <c r="M16" i="36"/>
  <c r="M15" i="36"/>
  <c r="F15" i="36"/>
  <c r="F16" i="36" s="1"/>
  <c r="B15" i="36"/>
  <c r="B16" i="36" s="1"/>
  <c r="B17" i="36" s="1"/>
  <c r="B18" i="36" s="1"/>
  <c r="B19" i="36" s="1"/>
  <c r="M14" i="36"/>
  <c r="F9" i="36"/>
  <c r="F10" i="36" s="1"/>
  <c r="F11" i="36" s="1"/>
  <c r="F12" i="36" s="1"/>
  <c r="F13" i="36" s="1"/>
  <c r="B9" i="36"/>
  <c r="B10" i="36" s="1"/>
  <c r="B11" i="36" s="1"/>
  <c r="B12" i="36" s="1"/>
  <c r="B13" i="36" s="1"/>
  <c r="M7" i="36"/>
  <c r="M6" i="36"/>
  <c r="M4" i="36"/>
  <c r="M3" i="36"/>
  <c r="F3" i="36"/>
  <c r="F4" i="36" s="1"/>
  <c r="B3" i="36"/>
  <c r="B4" i="36" s="1"/>
  <c r="B5" i="36" s="1"/>
  <c r="B6" i="36" s="1"/>
  <c r="B7" i="36" s="1"/>
  <c r="F5" i="36" l="1"/>
  <c r="F7" i="36" s="1"/>
  <c r="F6" i="36"/>
  <c r="F17" i="36"/>
  <c r="F19" i="36" s="1"/>
  <c r="F18" i="36"/>
  <c r="F32" i="36"/>
  <c r="F34" i="36" s="1"/>
  <c r="F33" i="36"/>
  <c r="F44" i="36"/>
  <c r="F46" i="36" s="1"/>
  <c r="F45" i="36"/>
  <c r="F39" i="35"/>
  <c r="F40" i="35" s="1"/>
  <c r="F42" i="35" s="1"/>
  <c r="B39" i="35"/>
  <c r="B40" i="35" s="1"/>
  <c r="B41" i="35" s="1"/>
  <c r="B42" i="35" s="1"/>
  <c r="B43" i="35" s="1"/>
  <c r="M36" i="35"/>
  <c r="M35" i="35"/>
  <c r="M34" i="35"/>
  <c r="M33" i="35"/>
  <c r="F33" i="35"/>
  <c r="F34" i="35" s="1"/>
  <c r="F35" i="35" s="1"/>
  <c r="F36" i="35" s="1"/>
  <c r="F37" i="35" s="1"/>
  <c r="B33" i="35"/>
  <c r="B34" i="35" s="1"/>
  <c r="B35" i="35" s="1"/>
  <c r="B36" i="35" s="1"/>
  <c r="B37" i="35" s="1"/>
  <c r="B9" i="35"/>
  <c r="B10" i="35" s="1"/>
  <c r="B11" i="35" s="1"/>
  <c r="B12" i="35" s="1"/>
  <c r="B13" i="35" s="1"/>
  <c r="B3" i="35"/>
  <c r="B4" i="35" s="1"/>
  <c r="B5" i="35" s="1"/>
  <c r="B6" i="35" s="1"/>
  <c r="B7" i="35" s="1"/>
  <c r="B27" i="35"/>
  <c r="B28" i="35" s="1"/>
  <c r="B29" i="35" s="1"/>
  <c r="B30" i="35" s="1"/>
  <c r="B31" i="35" s="1"/>
  <c r="M31" i="35"/>
  <c r="M30" i="35"/>
  <c r="M28" i="35"/>
  <c r="M27" i="35"/>
  <c r="F27" i="35"/>
  <c r="F28" i="35" s="1"/>
  <c r="M26" i="35"/>
  <c r="B21" i="35"/>
  <c r="B22" i="35" s="1"/>
  <c r="B23" i="35" s="1"/>
  <c r="B24" i="35" s="1"/>
  <c r="B25" i="35" s="1"/>
  <c r="B15" i="35"/>
  <c r="B16" i="35" s="1"/>
  <c r="B17" i="35" s="1"/>
  <c r="B18" i="35" s="1"/>
  <c r="B19" i="35" s="1"/>
  <c r="M25" i="35"/>
  <c r="M24" i="35"/>
  <c r="M23" i="35"/>
  <c r="M22" i="35"/>
  <c r="M21" i="35"/>
  <c r="F21" i="35"/>
  <c r="F22" i="35" s="1"/>
  <c r="F23" i="35" s="1"/>
  <c r="F24" i="35" s="1"/>
  <c r="F25" i="35" s="1"/>
  <c r="M20" i="35"/>
  <c r="M19" i="35"/>
  <c r="M18" i="35"/>
  <c r="M16" i="35"/>
  <c r="F15" i="35"/>
  <c r="F16" i="35" s="1"/>
  <c r="M14" i="35"/>
  <c r="M6" i="35"/>
  <c r="M13" i="35"/>
  <c r="M12" i="35"/>
  <c r="M10" i="35"/>
  <c r="F9" i="35"/>
  <c r="F10" i="35" s="1"/>
  <c r="F11" i="35" s="1"/>
  <c r="F12" i="35" s="1"/>
  <c r="F13" i="35" s="1"/>
  <c r="M8" i="35"/>
  <c r="M5" i="35"/>
  <c r="M4" i="35"/>
  <c r="M3" i="35"/>
  <c r="F3" i="35"/>
  <c r="F4" i="35" s="1"/>
  <c r="F5" i="35" s="1"/>
  <c r="F7" i="35" s="1"/>
  <c r="F41" i="35" l="1"/>
  <c r="F43" i="35" s="1"/>
  <c r="F29" i="35"/>
  <c r="F31" i="35" s="1"/>
  <c r="F30" i="35"/>
  <c r="F18" i="35"/>
  <c r="F17" i="35"/>
  <c r="F19" i="35" s="1"/>
  <c r="F6" i="35"/>
  <c r="F10" i="34"/>
  <c r="F11" i="34" s="1"/>
  <c r="F12" i="34" s="1"/>
  <c r="F13" i="34" s="1"/>
  <c r="F14" i="34" s="1"/>
  <c r="F3" i="34"/>
  <c r="F4" i="34" s="1"/>
  <c r="F5" i="34" s="1"/>
  <c r="F6" i="34" s="1"/>
  <c r="F7" i="34" s="1"/>
  <c r="F8" i="34" s="1"/>
  <c r="M14" i="34"/>
  <c r="M13" i="34"/>
  <c r="M12" i="34"/>
  <c r="M11" i="34"/>
  <c r="M10" i="34"/>
  <c r="M9" i="34"/>
  <c r="M7" i="34"/>
  <c r="M6" i="34"/>
  <c r="M5" i="34"/>
  <c r="M4" i="34"/>
  <c r="M3" i="34"/>
  <c r="M2" i="34"/>
  <c r="K2" i="34"/>
  <c r="K15" i="32" l="1"/>
  <c r="L34" i="5"/>
  <c r="L35" i="5"/>
  <c r="K14" i="32" l="1"/>
  <c r="K13" i="32"/>
  <c r="K12" i="32"/>
  <c r="K11" i="32"/>
  <c r="K10" i="32"/>
  <c r="K9" i="32"/>
  <c r="K8" i="32" l="1"/>
  <c r="K6" i="32"/>
  <c r="K7" i="32"/>
  <c r="M14" i="32"/>
  <c r="M13" i="32"/>
  <c r="M12" i="32"/>
  <c r="M11" i="32"/>
  <c r="M10" i="32"/>
  <c r="M9" i="32"/>
  <c r="K3" i="32"/>
  <c r="K4" i="32"/>
  <c r="K5" i="32"/>
  <c r="K2" i="32"/>
  <c r="M6" i="32"/>
  <c r="M7" i="32"/>
  <c r="M3" i="32"/>
  <c r="M4" i="32"/>
  <c r="M5" i="32"/>
  <c r="M2" i="32"/>
  <c r="K43" i="5" l="1"/>
  <c r="K44" i="5"/>
  <c r="K45" i="5"/>
  <c r="G45" i="5"/>
  <c r="G44" i="5"/>
  <c r="G43" i="5"/>
  <c r="B13" i="30" l="1"/>
  <c r="F3" i="31" l="1"/>
  <c r="F4" i="31" s="1"/>
  <c r="F5" i="31" s="1"/>
  <c r="F6" i="31" s="1"/>
  <c r="F7" i="31" s="1"/>
  <c r="B14" i="30" l="1"/>
  <c r="B15" i="30" s="1"/>
  <c r="B17" i="29"/>
  <c r="B18" i="29" s="1"/>
  <c r="B19" i="29" s="1"/>
  <c r="B20" i="29" s="1"/>
  <c r="B21" i="29" s="1"/>
  <c r="B22" i="29" s="1"/>
  <c r="F17" i="29"/>
  <c r="F18" i="29" s="1"/>
  <c r="F19" i="29" s="1"/>
  <c r="F20" i="29" s="1"/>
  <c r="F21" i="29" s="1"/>
  <c r="F10" i="29"/>
  <c r="F11" i="29" s="1"/>
  <c r="F12" i="29" s="1"/>
  <c r="F13" i="29" s="1"/>
  <c r="F14" i="29" s="1"/>
  <c r="F15" i="29" s="1"/>
  <c r="F3" i="29"/>
  <c r="F4" i="29" s="1"/>
  <c r="F5" i="29" s="1"/>
  <c r="F6" i="29" s="1"/>
  <c r="F7" i="29" s="1"/>
  <c r="F3" i="28"/>
  <c r="F4" i="28" s="1"/>
  <c r="F5" i="28" s="1"/>
  <c r="F6" i="28" s="1"/>
  <c r="F7" i="28" s="1"/>
  <c r="K42" i="5"/>
  <c r="G42" i="5"/>
  <c r="B10" i="27"/>
  <c r="B11" i="27" s="1"/>
  <c r="B12" i="27" s="1"/>
  <c r="B13" i="27" s="1"/>
  <c r="B14" i="27" s="1"/>
  <c r="B15" i="27" s="1"/>
  <c r="B16" i="27" s="1"/>
  <c r="B20" i="20"/>
  <c r="B21" i="20" s="1"/>
  <c r="B22" i="20" s="1"/>
  <c r="B17" i="22"/>
  <c r="F3" i="27"/>
  <c r="F4" i="27" s="1"/>
  <c r="F5" i="27" s="1"/>
  <c r="F6" i="27" s="1"/>
  <c r="B3" i="27"/>
  <c r="B4" i="27" s="1"/>
  <c r="B5" i="27" s="1"/>
  <c r="B6" i="27" s="1"/>
  <c r="B7" i="27" s="1"/>
  <c r="B8" i="27" s="1"/>
  <c r="J2" i="27"/>
  <c r="K41" i="5"/>
  <c r="G41" i="5"/>
  <c r="B29" i="26"/>
  <c r="B30" i="26" s="1"/>
  <c r="I33" i="5"/>
  <c r="J33" i="5"/>
  <c r="B3" i="26"/>
  <c r="F3" i="26"/>
  <c r="B4" i="26"/>
  <c r="B5" i="26" s="1"/>
  <c r="B6" i="26" s="1"/>
  <c r="B7" i="26" s="1"/>
  <c r="B8" i="26" s="1"/>
  <c r="F4" i="26"/>
  <c r="F5" i="26" s="1"/>
  <c r="F6" i="26" s="1"/>
  <c r="F7" i="26" s="1"/>
  <c r="F8" i="26" s="1"/>
  <c r="B23" i="26"/>
  <c r="B24" i="26" s="1"/>
  <c r="B25" i="26" s="1"/>
  <c r="B26" i="26" s="1"/>
  <c r="B27" i="26" s="1"/>
  <c r="F16" i="26"/>
  <c r="F17" i="26" s="1"/>
  <c r="F18" i="26" s="1"/>
  <c r="F19" i="26" s="1"/>
  <c r="F20" i="26" s="1"/>
  <c r="F21" i="26" s="1"/>
  <c r="B16" i="26"/>
  <c r="B17" i="26" s="1"/>
  <c r="B18" i="26" s="1"/>
  <c r="B19" i="26" s="1"/>
  <c r="B20" i="26" s="1"/>
  <c r="B21" i="26" s="1"/>
  <c r="F10" i="26"/>
  <c r="F11" i="26" s="1"/>
  <c r="F12" i="26" s="1"/>
  <c r="F13" i="26" s="1"/>
  <c r="F14" i="26" s="1"/>
  <c r="B10" i="26"/>
  <c r="B11" i="26" s="1"/>
  <c r="B12" i="26" s="1"/>
  <c r="B13" i="26" s="1"/>
  <c r="B14" i="26" s="1"/>
  <c r="K38" i="5"/>
  <c r="K39" i="5"/>
  <c r="K40" i="5"/>
  <c r="K37" i="5"/>
  <c r="G37" i="5"/>
  <c r="G40" i="5"/>
  <c r="B10" i="25"/>
  <c r="B11" i="25" s="1"/>
  <c r="B12" i="25" s="1"/>
  <c r="B13" i="25" s="1"/>
  <c r="B14" i="25" s="1"/>
  <c r="B15" i="25" s="1"/>
  <c r="B16" i="25" s="1"/>
  <c r="F3" i="25"/>
  <c r="F4" i="25" s="1"/>
  <c r="F5" i="25" s="1"/>
  <c r="F6" i="25" s="1"/>
  <c r="B3" i="25"/>
  <c r="B4" i="25" s="1"/>
  <c r="B5" i="25" s="1"/>
  <c r="B6" i="25" s="1"/>
  <c r="B7" i="25" s="1"/>
  <c r="B8" i="25" s="1"/>
  <c r="J2" i="25"/>
  <c r="G39" i="5"/>
  <c r="B9" i="24"/>
  <c r="B10" i="24"/>
  <c r="F12" i="24"/>
  <c r="F13" i="24" s="1"/>
  <c r="F14" i="24" s="1"/>
  <c r="F15" i="24" s="1"/>
  <c r="F16" i="24" s="1"/>
  <c r="F17" i="24" s="1"/>
  <c r="B12" i="24"/>
  <c r="B13" i="24" s="1"/>
  <c r="B14" i="24" s="1"/>
  <c r="B15" i="24" s="1"/>
  <c r="B16" i="24" s="1"/>
  <c r="B17" i="24" s="1"/>
  <c r="B3" i="24"/>
  <c r="B4" i="24" s="1"/>
  <c r="B5" i="24" s="1"/>
  <c r="B6" i="24" s="1"/>
  <c r="B7" i="24" s="1"/>
  <c r="B8" i="24" s="1"/>
  <c r="F26" i="23"/>
  <c r="F27" i="23"/>
  <c r="F28" i="23"/>
  <c r="F29" i="23" s="1"/>
  <c r="F25" i="23"/>
  <c r="F18" i="23"/>
  <c r="F19" i="23" s="1"/>
  <c r="F20" i="23" s="1"/>
  <c r="F21" i="23" s="1"/>
  <c r="F22" i="23" s="1"/>
  <c r="F23" i="23" s="1"/>
  <c r="F10" i="23"/>
  <c r="F11" i="23" s="1"/>
  <c r="F12" i="23" s="1"/>
  <c r="F13" i="23" s="1"/>
  <c r="F14" i="23" s="1"/>
  <c r="F15" i="23" s="1"/>
  <c r="F16" i="23" s="1"/>
  <c r="B25" i="23"/>
  <c r="B26" i="23" s="1"/>
  <c r="B27" i="23" s="1"/>
  <c r="B28" i="23" s="1"/>
  <c r="B29" i="23" s="1"/>
  <c r="B18" i="23"/>
  <c r="B19" i="23" s="1"/>
  <c r="B20" i="23" s="1"/>
  <c r="B21" i="23" s="1"/>
  <c r="B22" i="23" s="1"/>
  <c r="B23" i="23" s="1"/>
  <c r="B10" i="23"/>
  <c r="B11" i="23" s="1"/>
  <c r="B12" i="23" s="1"/>
  <c r="B13" i="23" s="1"/>
  <c r="B14" i="23" s="1"/>
  <c r="B15" i="23" s="1"/>
  <c r="B16" i="23" s="1"/>
  <c r="F3" i="23"/>
  <c r="F4" i="23" s="1"/>
  <c r="F5" i="23" s="1"/>
  <c r="F6" i="23" s="1"/>
  <c r="F7" i="23" s="1"/>
  <c r="F8" i="23" s="1"/>
  <c r="B3" i="23"/>
  <c r="B4" i="23" s="1"/>
  <c r="B5" i="23" s="1"/>
  <c r="B6" i="23" s="1"/>
  <c r="B7" i="23" s="1"/>
  <c r="B8" i="23" s="1"/>
  <c r="G38" i="5"/>
  <c r="B10" i="22"/>
  <c r="B11" i="22" s="1"/>
  <c r="B12" i="22" s="1"/>
  <c r="B13" i="22" s="1"/>
  <c r="B14" i="22" s="1"/>
  <c r="B15" i="22" s="1"/>
  <c r="B16" i="22" s="1"/>
  <c r="F3" i="22"/>
  <c r="F4" i="22" s="1"/>
  <c r="F5" i="22" s="1"/>
  <c r="F6" i="22" s="1"/>
  <c r="B3" i="22"/>
  <c r="B4" i="22" s="1"/>
  <c r="B5" i="22" s="1"/>
  <c r="B6" i="22" s="1"/>
  <c r="B7" i="22" s="1"/>
  <c r="J2" i="22"/>
  <c r="G33" i="5"/>
  <c r="F26" i="21"/>
  <c r="F27" i="21" s="1"/>
  <c r="F28" i="21" s="1"/>
  <c r="F29" i="21" s="1"/>
  <c r="F30" i="21" s="1"/>
  <c r="B26" i="21"/>
  <c r="B27" i="21" s="1"/>
  <c r="B28" i="21" s="1"/>
  <c r="B29" i="21" s="1"/>
  <c r="B30" i="21" s="1"/>
  <c r="F30" i="18"/>
  <c r="F31" i="18"/>
  <c r="F32" i="18"/>
  <c r="F9" i="18"/>
  <c r="B8" i="18"/>
  <c r="B10" i="18"/>
  <c r="F7" i="18"/>
  <c r="B7" i="18"/>
  <c r="B18" i="21"/>
  <c r="B19" i="21" s="1"/>
  <c r="B20" i="21" s="1"/>
  <c r="B21" i="21" s="1"/>
  <c r="B22" i="21" s="1"/>
  <c r="B23" i="21" s="1"/>
  <c r="B24" i="21" s="1"/>
  <c r="F11" i="21"/>
  <c r="F12" i="21" s="1"/>
  <c r="F13" i="21" s="1"/>
  <c r="B11" i="21"/>
  <c r="B12" i="21" s="1"/>
  <c r="B13" i="21" s="1"/>
  <c r="F3" i="21"/>
  <c r="F4" i="21" s="1"/>
  <c r="F5" i="21" s="1"/>
  <c r="F6" i="21" s="1"/>
  <c r="B3" i="21"/>
  <c r="B4" i="21" s="1"/>
  <c r="B5" i="21" s="1"/>
  <c r="B6" i="21" s="1"/>
  <c r="B7" i="21" s="1"/>
  <c r="B8" i="21" s="1"/>
  <c r="B9" i="21" s="1"/>
  <c r="F15" i="20"/>
  <c r="F16" i="20" s="1"/>
  <c r="F17" i="20" s="1"/>
  <c r="F18" i="20" s="1"/>
  <c r="F19" i="20" s="1"/>
  <c r="F20" i="20" s="1"/>
  <c r="F21" i="20" s="1"/>
  <c r="F22" i="20" s="1"/>
  <c r="B15" i="20"/>
  <c r="B16" i="20" s="1"/>
  <c r="B17" i="20" s="1"/>
  <c r="B18" i="20" s="1"/>
  <c r="B19" i="20" s="1"/>
  <c r="F3" i="20"/>
  <c r="F4" i="20" s="1"/>
  <c r="F5" i="20" s="1"/>
  <c r="F6" i="20" s="1"/>
  <c r="B3" i="20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J2" i="20"/>
  <c r="F20" i="19"/>
  <c r="F21" i="19" s="1"/>
  <c r="F22" i="19" s="1"/>
  <c r="F23" i="19" s="1"/>
  <c r="F24" i="19" s="1"/>
  <c r="F25" i="19" s="1"/>
  <c r="B20" i="19"/>
  <c r="B21" i="19" s="1"/>
  <c r="B22" i="19" s="1"/>
  <c r="B23" i="19" s="1"/>
  <c r="B24" i="19" s="1"/>
  <c r="B25" i="19" s="1"/>
  <c r="F10" i="19"/>
  <c r="F11" i="19" s="1"/>
  <c r="F12" i="19" s="1"/>
  <c r="B10" i="19"/>
  <c r="B11" i="19" s="1"/>
  <c r="B12" i="19" s="1"/>
  <c r="F3" i="19"/>
  <c r="F4" i="19" s="1"/>
  <c r="F5" i="19" s="1"/>
  <c r="F6" i="19" s="1"/>
  <c r="F8" i="19" s="1"/>
  <c r="B3" i="19"/>
  <c r="B4" i="19" s="1"/>
  <c r="B5" i="19" s="1"/>
  <c r="B6" i="19" s="1"/>
  <c r="B7" i="19" s="1"/>
  <c r="B8" i="19" s="1"/>
  <c r="J2" i="19"/>
  <c r="F25" i="18"/>
  <c r="F26" i="18" s="1"/>
  <c r="F27" i="18" s="1"/>
  <c r="F28" i="18" s="1"/>
  <c r="F29" i="18" s="1"/>
  <c r="B25" i="18"/>
  <c r="B26" i="18" s="1"/>
  <c r="B27" i="18" s="1"/>
  <c r="B28" i="18" s="1"/>
  <c r="B29" i="18" s="1"/>
  <c r="B30" i="18" s="1"/>
  <c r="B31" i="18" s="1"/>
  <c r="B32" i="18" s="1"/>
  <c r="F19" i="18"/>
  <c r="F20" i="18" s="1"/>
  <c r="F21" i="18" s="1"/>
  <c r="F22" i="18" s="1"/>
  <c r="F23" i="18" s="1"/>
  <c r="B19" i="18"/>
  <c r="B20" i="18" s="1"/>
  <c r="B21" i="18" s="1"/>
  <c r="B22" i="18" s="1"/>
  <c r="B23" i="18" s="1"/>
  <c r="F12" i="18"/>
  <c r="F13" i="18" s="1"/>
  <c r="F14" i="18" s="1"/>
  <c r="B12" i="18"/>
  <c r="B13" i="18" s="1"/>
  <c r="B14" i="18" s="1"/>
  <c r="F3" i="18"/>
  <c r="F4" i="18" s="1"/>
  <c r="F5" i="18" s="1"/>
  <c r="F6" i="18" s="1"/>
  <c r="F10" i="18" s="1"/>
  <c r="B3" i="18"/>
  <c r="B4" i="18" s="1"/>
  <c r="B5" i="18" s="1"/>
  <c r="B6" i="18" s="1"/>
  <c r="J2" i="18"/>
  <c r="J2" i="15"/>
  <c r="F15" i="17"/>
  <c r="B15" i="17"/>
  <c r="F9" i="17"/>
  <c r="F10" i="17" s="1"/>
  <c r="F11" i="17" s="1"/>
  <c r="F12" i="17" s="1"/>
  <c r="F13" i="17" s="1"/>
  <c r="B9" i="17"/>
  <c r="B10" i="17" s="1"/>
  <c r="B11" i="17" s="1"/>
  <c r="B12" i="17" s="1"/>
  <c r="B13" i="17" s="1"/>
  <c r="F3" i="17"/>
  <c r="F4" i="17" s="1"/>
  <c r="F5" i="17" s="1"/>
  <c r="F6" i="17" s="1"/>
  <c r="F7" i="17" s="1"/>
  <c r="B3" i="17"/>
  <c r="B4" i="17" s="1"/>
  <c r="B5" i="17" s="1"/>
  <c r="B6" i="17" s="1"/>
  <c r="B7" i="17" s="1"/>
  <c r="J2" i="17"/>
  <c r="F41" i="14"/>
  <c r="F42" i="14" s="1"/>
  <c r="F43" i="14" s="1"/>
  <c r="F44" i="14" s="1"/>
  <c r="F45" i="14" s="1"/>
  <c r="B41" i="14"/>
  <c r="B42" i="14" s="1"/>
  <c r="B43" i="14" s="1"/>
  <c r="B44" i="14" s="1"/>
  <c r="B45" i="14" s="1"/>
  <c r="F23" i="15"/>
  <c r="F24" i="15" s="1"/>
  <c r="F25" i="15" s="1"/>
  <c r="F26" i="15" s="1"/>
  <c r="F27" i="15" s="1"/>
  <c r="F17" i="15"/>
  <c r="F18" i="15" s="1"/>
  <c r="F19" i="15" s="1"/>
  <c r="F20" i="15" s="1"/>
  <c r="F21" i="15" s="1"/>
  <c r="F10" i="15"/>
  <c r="F11" i="15" s="1"/>
  <c r="F12" i="15" s="1"/>
  <c r="F13" i="15" s="1"/>
  <c r="F14" i="15" s="1"/>
  <c r="F15" i="15" s="1"/>
  <c r="F30" i="14"/>
  <c r="F31" i="14" s="1"/>
  <c r="F32" i="14" s="1"/>
  <c r="F33" i="14" s="1"/>
  <c r="F34" i="14" s="1"/>
  <c r="F35" i="14" s="1"/>
  <c r="F36" i="14" s="1"/>
  <c r="F37" i="14" s="1"/>
  <c r="F38" i="14" s="1"/>
  <c r="F39" i="14" s="1"/>
  <c r="F23" i="14"/>
  <c r="F24" i="14" s="1"/>
  <c r="F25" i="14" s="1"/>
  <c r="F26" i="14" s="1"/>
  <c r="F27" i="14" s="1"/>
  <c r="F28" i="14" s="1"/>
  <c r="F16" i="14"/>
  <c r="F17" i="14" s="1"/>
  <c r="F18" i="14" s="1"/>
  <c r="F19" i="14" s="1"/>
  <c r="F20" i="14" s="1"/>
  <c r="F9" i="14"/>
  <c r="F10" i="14" s="1"/>
  <c r="F11" i="14" s="1"/>
  <c r="F12" i="14" s="1"/>
  <c r="F13" i="14" s="1"/>
  <c r="B23" i="15"/>
  <c r="B24" i="15" s="1"/>
  <c r="B25" i="15" s="1"/>
  <c r="B26" i="15" s="1"/>
  <c r="B27" i="15" s="1"/>
  <c r="B17" i="15"/>
  <c r="B18" i="15" s="1"/>
  <c r="B19" i="15" s="1"/>
  <c r="B20" i="15" s="1"/>
  <c r="B21" i="15" s="1"/>
  <c r="B10" i="15"/>
  <c r="B11" i="15" s="1"/>
  <c r="B12" i="15" s="1"/>
  <c r="B13" i="15" s="1"/>
  <c r="B3" i="15"/>
  <c r="B4" i="15" s="1"/>
  <c r="B5" i="15" s="1"/>
  <c r="B6" i="15" s="1"/>
  <c r="B30" i="14"/>
  <c r="B31" i="14" s="1"/>
  <c r="B32" i="14" s="1"/>
  <c r="B33" i="14" s="1"/>
  <c r="B34" i="14" s="1"/>
  <c r="B35" i="14" s="1"/>
  <c r="B36" i="14" s="1"/>
  <c r="B37" i="14" s="1"/>
  <c r="B38" i="14" s="1"/>
  <c r="B39" i="14" s="1"/>
  <c r="B23" i="14"/>
  <c r="B24" i="14" s="1"/>
  <c r="B25" i="14" s="1"/>
  <c r="B26" i="14" s="1"/>
  <c r="B27" i="14" s="1"/>
  <c r="B28" i="14" s="1"/>
  <c r="B16" i="14"/>
  <c r="B17" i="14" s="1"/>
  <c r="B18" i="14" s="1"/>
  <c r="B19" i="14" s="1"/>
  <c r="B20" i="14" s="1"/>
  <c r="B21" i="14" s="1"/>
  <c r="B9" i="14"/>
  <c r="B10" i="14" s="1"/>
  <c r="B11" i="14" s="1"/>
  <c r="B12" i="14" s="1"/>
  <c r="B13" i="14" s="1"/>
  <c r="B3" i="14"/>
  <c r="B4" i="14" s="1"/>
  <c r="B5" i="14" s="1"/>
  <c r="B6" i="14" s="1"/>
  <c r="B7" i="14" s="1"/>
  <c r="B40" i="13"/>
  <c r="B41" i="13" s="1"/>
  <c r="B42" i="13" s="1"/>
  <c r="B43" i="13" s="1"/>
  <c r="B44" i="13" s="1"/>
  <c r="B6" i="13"/>
  <c r="B7" i="13" s="1"/>
  <c r="B8" i="13" s="1"/>
  <c r="B10" i="13" s="1"/>
  <c r="B11" i="13" s="1"/>
  <c r="B12" i="13" s="1"/>
  <c r="B13" i="13" s="1"/>
  <c r="B14" i="13" s="1"/>
  <c r="B15" i="13" s="1"/>
  <c r="B17" i="13"/>
  <c r="B18" i="13" s="1"/>
  <c r="B19" i="13" s="1"/>
  <c r="B20" i="13" s="1"/>
  <c r="B21" i="13" s="1"/>
  <c r="B22" i="13" s="1"/>
  <c r="B23" i="13" s="1"/>
  <c r="B24" i="13" s="1"/>
  <c r="B25" i="13" s="1"/>
  <c r="B26" i="13" s="1"/>
  <c r="B28" i="13"/>
  <c r="B29" i="13" s="1"/>
  <c r="B30" i="13" s="1"/>
  <c r="B31" i="13" s="1"/>
  <c r="B33" i="13" s="1"/>
  <c r="B34" i="13" s="1"/>
  <c r="B35" i="13" s="1"/>
  <c r="B36" i="13" s="1"/>
  <c r="B37" i="13" s="1"/>
  <c r="B38" i="13" s="1"/>
  <c r="J2" i="14"/>
  <c r="J2" i="13"/>
  <c r="J2" i="12"/>
  <c r="J2" i="11"/>
  <c r="L51" i="10"/>
  <c r="M51" i="10" s="1"/>
  <c r="L50" i="10"/>
  <c r="M50" i="10" s="1"/>
  <c r="L49" i="10"/>
  <c r="M49" i="10" s="1"/>
  <c r="L48" i="10"/>
  <c r="M48" i="10" s="1"/>
  <c r="L47" i="10"/>
  <c r="M47" i="10" s="1"/>
  <c r="L46" i="10"/>
  <c r="M46" i="10" s="1"/>
  <c r="L45" i="10"/>
  <c r="M45" i="10" s="1"/>
  <c r="L44" i="10"/>
  <c r="M44" i="10" s="1"/>
  <c r="J2" i="10"/>
  <c r="J2" i="9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" i="5"/>
  <c r="J2" i="8"/>
  <c r="J2" i="7"/>
  <c r="J2" i="1"/>
  <c r="J2" i="2"/>
  <c r="J2" i="3"/>
  <c r="J2" i="4"/>
  <c r="B9" i="18" l="1"/>
  <c r="L33" i="5"/>
  <c r="F8" i="18"/>
  <c r="B18" i="30"/>
  <c r="B19" i="30" s="1"/>
  <c r="B16" i="30"/>
  <c r="B17" i="30" s="1"/>
  <c r="A2" i="5"/>
  <c r="B14" i="21"/>
  <c r="B16" i="21" s="1"/>
  <c r="B15" i="21"/>
  <c r="F14" i="21"/>
  <c r="F16" i="21" s="1"/>
  <c r="F15" i="21"/>
  <c r="B15" i="18"/>
  <c r="B17" i="18" s="1"/>
  <c r="B16" i="18"/>
  <c r="F15" i="18"/>
  <c r="F17" i="18" s="1"/>
  <c r="F16" i="18"/>
  <c r="B13" i="19"/>
  <c r="B15" i="19" s="1"/>
  <c r="B17" i="19" s="1"/>
  <c r="B14" i="19"/>
  <c r="B16" i="19" s="1"/>
  <c r="B18" i="19" s="1"/>
  <c r="F13" i="19"/>
  <c r="F14" i="19"/>
  <c r="B15" i="15"/>
  <c r="B14" i="15"/>
  <c r="B7" i="15"/>
  <c r="B8" i="15"/>
</calcChain>
</file>

<file path=xl/sharedStrings.xml><?xml version="1.0" encoding="utf-8"?>
<sst xmlns="http://schemas.openxmlformats.org/spreadsheetml/2006/main" count="2232" uniqueCount="1122">
  <si>
    <t>vidéo</t>
  </si>
  <si>
    <t>grillon</t>
  </si>
  <si>
    <t>v</t>
  </si>
  <si>
    <t>safe</t>
  </si>
  <si>
    <t>R</t>
  </si>
  <si>
    <t>keep</t>
  </si>
  <si>
    <t>T</t>
  </si>
  <si>
    <t>ID</t>
  </si>
  <si>
    <t>diverse</t>
  </si>
  <si>
    <t>Basler acA720-520uc (40068684)_20240214_160900477</t>
  </si>
  <si>
    <t>AP1</t>
  </si>
  <si>
    <t>Basler acA720-520uc (40068684)_20240214_161908372</t>
  </si>
  <si>
    <t>M et M avant</t>
  </si>
  <si>
    <t>Basler acA720-520uc (40068684)_20240214_163012724</t>
  </si>
  <si>
    <t>M</t>
  </si>
  <si>
    <t>Basler acA720-520uc (40068684)_20240214_164218647</t>
  </si>
  <si>
    <t>Basler acA720-520uc (40068684)_20240214_165320444</t>
  </si>
  <si>
    <t>Basler acA720-520uc (40068684)_20240214_170414637</t>
  </si>
  <si>
    <t>Basler acA720-520uc (40068684)_20240214_171756261</t>
  </si>
  <si>
    <t>AP1 - calib</t>
  </si>
  <si>
    <t>NA</t>
  </si>
  <si>
    <t>-</t>
  </si>
  <si>
    <t>Basler acA720-520uc (40068684)_20240214_172025439</t>
  </si>
  <si>
    <t>Basler acA720-520uc (40068684)_20240214_172705317</t>
  </si>
  <si>
    <t>Basler acA720-520uc (40068684)_20240214_181251637</t>
  </si>
  <si>
    <t>AP2</t>
  </si>
  <si>
    <t>Basler acA720-520uc (40068684)_20240214_182305595</t>
  </si>
  <si>
    <t>Basler acA720-520uc (40068684)_20240214_183431419</t>
  </si>
  <si>
    <t>Basler acA720-520uc (40068684)_20240214_184522014_v40</t>
  </si>
  <si>
    <t>Basler acA720-520uc (40068684)_20240214_190547655_v10</t>
  </si>
  <si>
    <t>Basler acA720-520uc (40068684)_20240214_191654806_v20</t>
  </si>
  <si>
    <t>Basler acA720-520uc (40068684)_20240214_191954806_v20</t>
  </si>
  <si>
    <t>AP2 - calib</t>
  </si>
  <si>
    <t>Basler acA720-520uc (40068684)_20240215_145331437</t>
  </si>
  <si>
    <t>Basler acA720-520uc (40068684)_20240215_150416614</t>
  </si>
  <si>
    <t>Basler acA720-520uc (40068684)_20240215_151403398</t>
  </si>
  <si>
    <t>Basler acA720-520uc (40068684)_20240215_152536270</t>
  </si>
  <si>
    <t>Basler acA720-520uc (40068684)_20240215_153647792</t>
  </si>
  <si>
    <t>Basler acA720-520uc (40068684)_20240215_154702707</t>
  </si>
  <si>
    <t>20240215_AP1_E1</t>
  </si>
  <si>
    <t>calib</t>
  </si>
  <si>
    <t>20240215_AP1_E2</t>
  </si>
  <si>
    <t>Basler acA720-520uc (40068684)_20240215_164204000</t>
  </si>
  <si>
    <t>Basler acA720-520uc (40068684)_20240215_170004397</t>
  </si>
  <si>
    <t>Basler acA720-520uc (40068684)_20240215_171102154</t>
  </si>
  <si>
    <t>AVImod</t>
  </si>
  <si>
    <t>Basler acA720-520uc (40068684)_20240215_172325110_L</t>
  </si>
  <si>
    <t>Basler acA720-520uc (40068684)_20240215_173319817</t>
  </si>
  <si>
    <t>Basler acA720-520uc (40068684)_20240215_174416243</t>
  </si>
  <si>
    <t>Basler acA720-520uc (40068684)_20240215_175650838</t>
  </si>
  <si>
    <t>EP1_20240215_175918199</t>
  </si>
  <si>
    <t>calib 150</t>
  </si>
  <si>
    <t>EP2_20240215_175924720</t>
  </si>
  <si>
    <t>Basler acA720-520uc (40068684)_20240215_181642353_v20</t>
  </si>
  <si>
    <t>Basler acA720-520uc (40068684)_20240215_182848781</t>
  </si>
  <si>
    <t>Basler acA720-520uc (40068684)_20240215_183253759</t>
  </si>
  <si>
    <t>Basler acA720-520uc (40068684)_20240215_183604455</t>
  </si>
  <si>
    <t>Basler acA720-520uc (40068684)_20240215_183724352</t>
  </si>
  <si>
    <t>Basler acA720-520uc (40068684)_20240215_183836336</t>
  </si>
  <si>
    <t>Basler acA720-520uc (40068684)_20240215_184715457</t>
  </si>
  <si>
    <t>EP1_300</t>
  </si>
  <si>
    <t>AP2 calib 300</t>
  </si>
  <si>
    <t>EP2_300</t>
  </si>
  <si>
    <t>mvt</t>
  </si>
  <si>
    <t>frames_lum</t>
  </si>
  <si>
    <t>frames_immo</t>
  </si>
  <si>
    <t>frames_reac</t>
  </si>
  <si>
    <t>Basler_acA720-520uc__40068684__20240216_100429678_v40_1</t>
  </si>
  <si>
    <t>M1</t>
  </si>
  <si>
    <t>Basler_acA720-520uc__40068684__20240216_101542466_v30</t>
  </si>
  <si>
    <t>Basler_acA720-520uc__40068684__20240216_102651924_v10</t>
  </si>
  <si>
    <t>Basler_acA720-520uc__40068684__20240216_103703971_v05</t>
  </si>
  <si>
    <t>Basler_acA720-520uc__40068684__20240216_104740459_v40_2</t>
  </si>
  <si>
    <t>Stack_Basler_acA720-520uc__40068684__20240216_105914279_v20</t>
  </si>
  <si>
    <t>Stack_Basler_acA720-520uc__40068684__20240216_110114279_extra20</t>
  </si>
  <si>
    <t>M1 calib</t>
  </si>
  <si>
    <t>Stack_Basler_acA720-520uc__40068684__20240216_132434194</t>
  </si>
  <si>
    <t>Stack_Basler_acA720-520uc__40068684__20240216_133639458</t>
  </si>
  <si>
    <t>Stack_Basler_acA720-520uc__40068684__20240216_134720829</t>
  </si>
  <si>
    <t>Stack_Basler_acA720-520uc__40068684__20240216_135920829</t>
  </si>
  <si>
    <t>Stack_Basler_acA720-520uc__40068684__20240216_140908077</t>
  </si>
  <si>
    <t>Stack_Basler_acA720-520uc__40068684__20240216_141901604_1500_v10_v2</t>
  </si>
  <si>
    <t>Stack_Basler_acA720-520uc__40068684__20240216_142339384_extra_v20</t>
  </si>
  <si>
    <t>AP1 calib</t>
  </si>
  <si>
    <t>Stack_Basler_acA720-520uc__40068684__20240216_143752957_extra_v20</t>
  </si>
  <si>
    <t>AP2 calib</t>
  </si>
  <si>
    <t>Stack_Basler_acA720-520uc__40068684__20240216_145228767_v10</t>
  </si>
  <si>
    <t>Stack_Basler_acA720-520uc__40068684__20240216_150526483_v40</t>
  </si>
  <si>
    <t>Stack_Basler_acA720-520uc__40068684__20240216_151527970_v20</t>
  </si>
  <si>
    <t>Stack_Basler_acA720-520uc__40068684__20240216_152605007_v05</t>
  </si>
  <si>
    <t>Stack_Basler_acA720-520uc__40068684__20240216_153628818_v30</t>
  </si>
  <si>
    <t>Stack_Basler_acA720-520uc__40068684__20240216_154702135_v10</t>
  </si>
  <si>
    <t>Stack_Basler_acA720-520uc__40068684__20240216_164821488_v30</t>
  </si>
  <si>
    <t>AP3</t>
  </si>
  <si>
    <t>Stack_Basler_acA720-520uc__40068684__20240216_165444420_v10</t>
  </si>
  <si>
    <t>Stack_Basler_acA720-520uc__40068684__20240216_165745685_v40</t>
  </si>
  <si>
    <t>Stack_Basler_acA720-520uc__40068684__20240216_170103065_v05</t>
  </si>
  <si>
    <t>Stack_Basler_acA720-520uc__40068684__20240216_171253242_v20</t>
  </si>
  <si>
    <t>Stack_Basler_acA720-520uc__40068684__20240216_171643157_v30_2</t>
  </si>
  <si>
    <t>Stack_Basler_acA720-520uc__40068684__20240216_172008146_extra_v20</t>
  </si>
  <si>
    <t>AP3 calib</t>
  </si>
  <si>
    <t>Stack_Basler_acA720-520uc__40068684__20240216_174031760_v40</t>
  </si>
  <si>
    <t>AP4</t>
  </si>
  <si>
    <t>Stack_Basler_acA720-520uc__40068684__20240216_175548719_v20</t>
  </si>
  <si>
    <t>Stack_Basler_acA720-520uc__40068684__20240216_180742434_v05</t>
  </si>
  <si>
    <t>Stack_Basler_acA720-520uc__40068684__20240216_181936237_v10</t>
  </si>
  <si>
    <t>Stack_Basler_acA720-520uc__40068684__20240216_183209556_v30</t>
  </si>
  <si>
    <t>Stack_Basler_acA720-520uc__40068684__20240216_184233201_v40_2</t>
  </si>
  <si>
    <t>Stack_Basler_acA720-520uc__40068684__20240216_184557666_extra_v20</t>
  </si>
  <si>
    <t>AP4 calib</t>
  </si>
  <si>
    <t>Stack_Basler_acA720-520uc__40068684__20240216_184635287_extra_v05</t>
  </si>
  <si>
    <t>Stack_Basler_acA720-520uc__40068684__20240216_184651353_extra_v40</t>
  </si>
  <si>
    <t>Stack_Basler_acA720-520uc__40068684__20240216_190729116_R15v30</t>
  </si>
  <si>
    <t>Stack_Basler_acA720-520uc__40068684__20240216_191900785_R15v10</t>
  </si>
  <si>
    <t>Basler_acA720-520uc__40068684__20240217_113458064_v20</t>
  </si>
  <si>
    <t>Basler_acA720-520uc__40068684__20240217_114758379_v05</t>
  </si>
  <si>
    <t>Basler_acA720-520uc__40068684__20240217_115917454_v30</t>
  </si>
  <si>
    <t>Basler_acA720-520uc__40068684__20240217_121026781_v40</t>
  </si>
  <si>
    <t>Basler_acA720-520uc__40068684__20240217_122447642_v10</t>
  </si>
  <si>
    <t>Basler_acA720-520uc__40068684__20240217_123603777_v20_2</t>
  </si>
  <si>
    <t>Basler_acA720-520uc__40068684__20240217_124551325_extra10</t>
  </si>
  <si>
    <t>Basler_acA720-520uc__40068684__20240217_124603790_extra05</t>
  </si>
  <si>
    <t>Basler_acA720-520uc__40068684__20240217_124639527_extra30</t>
  </si>
  <si>
    <t>Basler_acA720-520uc__40068684__20240217_124654636_extra20</t>
  </si>
  <si>
    <t>Basler_acA720-520uc__40068684__20240217_124724943_extra40</t>
  </si>
  <si>
    <t>Basler_acA720-520uc__40068684__20240217_134951546_v20</t>
  </si>
  <si>
    <t>Basler_acA720-520uc__40068684__20240217_140047543_v10</t>
  </si>
  <si>
    <t>Basler_acA720-520uc__40068684__20240217_141014120_v40</t>
  </si>
  <si>
    <t>Basler_acA720-520uc__40068684__20240217_142016549_v05</t>
  </si>
  <si>
    <t>Basler_acA720-520uc__40068684__20240217_143123505_v30</t>
  </si>
  <si>
    <t>Basler_acA720-520uc__40068684__20240217_144304753_v20_2</t>
  </si>
  <si>
    <t>Basler_acA720-520uc__40068684__20240217_144801740_extra05</t>
  </si>
  <si>
    <t>Basler_acA720-520uc__40068684__20240217_144826724_extra10</t>
  </si>
  <si>
    <t>Basler_acA720-520uc__40068684__20240217_144843602_extra20</t>
  </si>
  <si>
    <t>Basler_acA720-520uc__40068684__20240217_144859149_extra30</t>
  </si>
  <si>
    <t>Basler_acA720-520uc__40068684__20240217_144913714_extra40</t>
  </si>
  <si>
    <t>Basler_acA720-520uc__40068684__20240217_151408540_v40_1</t>
  </si>
  <si>
    <t>Basler_acA720-520uc__40068684__20240217_152458565_v05</t>
  </si>
  <si>
    <t>Basler_acA720-520uc__40068684__20240217_153451776_v20</t>
  </si>
  <si>
    <t>Basler_acA720-520uc__40068684__20240217_154450946_v10</t>
  </si>
  <si>
    <t>Basler_acA720-520uc__40068684__20240217_155513321_v30</t>
  </si>
  <si>
    <t>Basler_acA720-520uc__40068684__20240217_160539479_v40_2</t>
  </si>
  <si>
    <t>Basler_acA720-520uc__40068684__20240217_161017210_extra05</t>
  </si>
  <si>
    <t>Basler_acA720-520uc__40068684__20240217_161050861_extra20</t>
  </si>
  <si>
    <t>Basler_acA720-520uc__40068684__20240217_161102555_extra30</t>
  </si>
  <si>
    <t>Basler_acA720-520uc__40068684__20240217_161114934_extra40</t>
  </si>
  <si>
    <t>Basler_acA720-520uc__40068684__20240217_161128414_extra50</t>
  </si>
  <si>
    <t>Basler_acA720-520uc__40068684__20240217_161149868_extra10</t>
  </si>
  <si>
    <t>Basler_acA720-520uc__40068684__20240217_162531260_v10</t>
  </si>
  <si>
    <t>Basler_acA720-520uc__40068684__20240217_164257543_v20</t>
  </si>
  <si>
    <t>Basler_acA720-520uc__40068684__20240217_165234502_v05</t>
  </si>
  <si>
    <t>Basler_acA720-520uc__40068684__20240217_170242077_v40</t>
  </si>
  <si>
    <t>Basler_acA720-520uc__40068684__20240217_171248438_v30</t>
  </si>
  <si>
    <t>Basler_acA720-520uc__40068684__20240217_172508459_v10_2</t>
  </si>
  <si>
    <t>Basler_acA720-520uc__40068684__20240217_172819509_</t>
  </si>
  <si>
    <t>Basler_acA720-520uc__40068684__20240217_172833782_</t>
  </si>
  <si>
    <t>Basler_acA720-520uc__40068684__20240217_172851293_</t>
  </si>
  <si>
    <t>Basler_acA720-520uc__40068684__20240217_172905559_</t>
  </si>
  <si>
    <t>Basler_acA720-520uc__40068684__20240217_172924062_</t>
  </si>
  <si>
    <t>Basler_acA720-520uc__40068684__20240217_181040036_v40</t>
  </si>
  <si>
    <t>Basler_acA720-520uc__40068684__20240217_181958720_v05</t>
  </si>
  <si>
    <t>Basler_acA720-520uc__40068684__20240217_183018846_v20</t>
  </si>
  <si>
    <t>Basler_acA720-520uc__40068684__20240217_184017917_v10</t>
  </si>
  <si>
    <t>Basler_acA720-520uc__40068684__20240217_185018732_v30</t>
  </si>
  <si>
    <t>Basler_acA720-520uc__40068684__20240217_190046077_v40_2</t>
  </si>
  <si>
    <t>Basler_acA720-520uc__40068684__20240217_190422624_</t>
  </si>
  <si>
    <t>Basler_acA720-520uc__40068684__20240217_190437196_</t>
  </si>
  <si>
    <t>Basler_acA720-520uc__40068684__20240217_190450581_</t>
  </si>
  <si>
    <t>Basler_acA720-520uc__40068684__20240217_190502426_</t>
  </si>
  <si>
    <t>Basler_acA720-520uc__40068684__20240217_190537669_</t>
  </si>
  <si>
    <t>Basler_acA720-520uc__40068684__20240217_190559574_</t>
  </si>
  <si>
    <t>Basler_acA720-520uc__40068684__20240217_192147632_v20</t>
  </si>
  <si>
    <t>AP5</t>
  </si>
  <si>
    <t>Basler_acA720-520uc__40068684__20240217_193259440_v40</t>
  </si>
  <si>
    <t>Basler_acA720-520uc__40068684__20240217_194257051_v05</t>
  </si>
  <si>
    <t>Basler_acA720-520uc__40068684__20240217_195305566_v10</t>
  </si>
  <si>
    <t>Basler_acA720-520uc__40068684__20240217_200256645_v30</t>
  </si>
  <si>
    <t>Basler_acA720-520uc__40068684__20240217_201305212_v20</t>
  </si>
  <si>
    <t>Basler_acA720-520uc__40068684__20240220_133036435_v05</t>
  </si>
  <si>
    <t>Basler_acA720-520uc__40068684__20240220_134136674_v10</t>
  </si>
  <si>
    <t>Basler_acA720-520uc__40068684__20240220_135110953_v20</t>
  </si>
  <si>
    <t>Basler_acA720-520uc__40068684__20240220_140140690_v40</t>
  </si>
  <si>
    <t>Basler_acA720-520uc__40068684__20240220_141145231_v30</t>
  </si>
  <si>
    <t>oubli repet</t>
  </si>
  <si>
    <t>Basler_acA720-520uc__40068684__20240220_141443269_extra05</t>
  </si>
  <si>
    <t>Basler_acA720-520uc__40068684__20240220_141501481_extra10</t>
  </si>
  <si>
    <t>Basler_acA720-520uc__40068684__20240220_141546799_extra20</t>
  </si>
  <si>
    <t>Basler_acA720-520uc__40068684__20240220_141601021_extra30</t>
  </si>
  <si>
    <t>Basler_acA720-520uc__40068684__20240220_141614664_extra40</t>
  </si>
  <si>
    <t>Basler_acA720-520uc__40068684__20240220_144304575_v20</t>
  </si>
  <si>
    <t>Basler_acA720-520uc__40068684__20240220_145319097_v05</t>
  </si>
  <si>
    <t>Basler_acA720-520uc__40068684__20240220_150322987_v40</t>
  </si>
  <si>
    <t>Basler_acA720-520uc__40068684__20240220_151321086_v10</t>
  </si>
  <si>
    <t>Basler_acA720-520uc__40068684__20240220_152321505_v30</t>
  </si>
  <si>
    <t>Basler_acA720-520uc__40068684__20240220_153327064_v20_2</t>
  </si>
  <si>
    <t>Basler_acA720-520uc__40068684__20240220_153509046_extra05</t>
  </si>
  <si>
    <t>Basler_acA720-520uc__40068684__20240220_153522226_extra10</t>
  </si>
  <si>
    <t>Basler_acA720-520uc__40068684__20240220_153551023_extra30</t>
  </si>
  <si>
    <t>Basler_acA720-520uc__40068684__20240220_153607321_extra20</t>
  </si>
  <si>
    <t>Basler_acA720-520uc__40068684__20240220_153620369_extra40</t>
  </si>
  <si>
    <t>Basler_acA720-520uc__40068684__20240220_153632600_extra50</t>
  </si>
  <si>
    <t>Basler_acA720-520uc__40068684__20240220_153645709_extra60</t>
  </si>
  <si>
    <t>Basler_acA720-520uc__40068684__20240220_153659544_extra70</t>
  </si>
  <si>
    <t>Basler_acA720-520uc__40068684__20240220_160343047_v05</t>
  </si>
  <si>
    <t>Basler_acA720-520uc__40068684__20240220_161439740_v10</t>
  </si>
  <si>
    <t>Basler_acA720-520uc__40068684__20240220_162325368_v20</t>
  </si>
  <si>
    <t>Basler_acA720-520uc__40068684__20240220_163316556_v40</t>
  </si>
  <si>
    <t>Basler_acA720-520uc__40068684__20240220_164320377_v30</t>
  </si>
  <si>
    <t>Basler_acA720-520uc__40068684__20240220_165344380_v05_2</t>
  </si>
  <si>
    <t>Basler_acA720-520uc__40068684__20240220_165456640_extra05</t>
  </si>
  <si>
    <t>Basler_acA720-520uc__40068684__20240220_165509769_extra10</t>
  </si>
  <si>
    <t>Basler_acA720-520uc__40068684__20240220_165523318_extra20</t>
  </si>
  <si>
    <t>Basler_acA720-520uc__40068684__20240220_165534048_extra30</t>
  </si>
  <si>
    <t>Basler_acA720-520uc__40068684__20240220_165607408_extra40</t>
  </si>
  <si>
    <t>Basler_acA720-520uc__40068684__20240220_165624748_extra50</t>
  </si>
  <si>
    <t>Basler_acA720-520uc__40068684__20240220_171923341_v10</t>
  </si>
  <si>
    <t>Basler_acA720-520uc__40068684__20240220_172916888_v05</t>
  </si>
  <si>
    <t>Basler_acA720-520uc__40068684__20240220_173932976_v40</t>
  </si>
  <si>
    <t>Basler_acA720-520uc__40068684__20240220_174941536_v20</t>
  </si>
  <si>
    <t>Basler_acA720-520uc__40068684__20240220_175955064_v30</t>
  </si>
  <si>
    <t>Basler_acA720-520uc__40068684__20240220_181024101_v10_v2</t>
  </si>
  <si>
    <t>Basler_acA720-520uc__40068684__20240220_181351159_extra50</t>
  </si>
  <si>
    <t>Basler_acA720-520uc__40068684__20240220_181403395_extra40</t>
  </si>
  <si>
    <t>Basler_acA720-520uc__40068684__20240220_181418562_extra30</t>
  </si>
  <si>
    <t>Basler_acA720-520uc__40068684__20240220_181430369_extra20</t>
  </si>
  <si>
    <t>Basler_acA720-520uc__40068684__20240220_181453162_extra10</t>
  </si>
  <si>
    <t>Basler_acA720-520uc__40068684__20240220_181513307_extra05</t>
  </si>
  <si>
    <t>Basler_acA720-520uc__40068684__20240221_094010994_v10</t>
  </si>
  <si>
    <t>Basler_acA720-520uc__40068684__20240221_094958678_v20</t>
  </si>
  <si>
    <t>Basler_acA720-520uc__40068684__20240221_100011993_v5</t>
  </si>
  <si>
    <t>Basler_acA720-520uc__40068684__20240221_101038886_v40</t>
  </si>
  <si>
    <t>Basler_acA720-520uc__40068684__20240221_102024409_v30</t>
  </si>
  <si>
    <t>Basler_acA720-520uc__40068684__20240221_103125238_v10</t>
  </si>
  <si>
    <t>Basler_acA720-520uc__40068684__20240221_103223834_extra5</t>
  </si>
  <si>
    <t>Basler_acA720-520uc__40068684__20240221_103255869_extra10</t>
  </si>
  <si>
    <t>Basler_acA720-520uc__40068684__20240221_103314442_extra20</t>
  </si>
  <si>
    <t>Basler_acA720-520uc__40068684__20240221_103328924_extra30</t>
  </si>
  <si>
    <t>Basler_acA720-520uc__40068684__20240221_103341854_extra40</t>
  </si>
  <si>
    <t>Basler_acA720-520uc__40068684__20240221_103355337_extra50</t>
  </si>
  <si>
    <t>Basler_acA720-520uc__40068684__20240221_103408121_extra60</t>
  </si>
  <si>
    <t>Basler_acA720-520uc__40068684__20240221_110234562_v10</t>
  </si>
  <si>
    <t>M2</t>
  </si>
  <si>
    <t>Basler_acA720-520uc__40068684__20240221_111220623_v40</t>
  </si>
  <si>
    <t>Basler_acA720-520uc__40068684__20240221_112234745_v5</t>
  </si>
  <si>
    <t>Basler_acA720-520uc__40068684__20240221_113311235_v20</t>
  </si>
  <si>
    <t>Basler_acA720-520uc__40068684__20240221_114315438_v30</t>
  </si>
  <si>
    <t>Basler_acA720-520uc__40068684__20240221_115647338_v10_2</t>
  </si>
  <si>
    <t>Basler_acA720-520uc__40068684__20240221_120130390_extra5</t>
  </si>
  <si>
    <t>Basler_acA720-520uc__40068684__20240221_120152459_extra10</t>
  </si>
  <si>
    <t>Basler_acA720-520uc__40068684__20240221_120209304_extra20</t>
  </si>
  <si>
    <t>Basler_acA720-520uc__40068684__20240221_120221835_extra30</t>
  </si>
  <si>
    <t>Basler_acA720-520uc__40068684__20240221_120235991_extra40</t>
  </si>
  <si>
    <t>Basler_acA720-520uc__40068684__20240221_120249806_extra50</t>
  </si>
  <si>
    <t>Basler_acA720-520uc__40068684__20240221_120306366_extra60</t>
  </si>
  <si>
    <t>Basler_acA720-520uc__40068684__20240221_120322689_extra70</t>
  </si>
  <si>
    <t>Basler_acA720-520uc__40068684__20240221_154442431_v10</t>
  </si>
  <si>
    <t>Basler_acA720-520uc__40068684__20240221_155551847_v5</t>
  </si>
  <si>
    <t>Basler_acA720-520uc__40068684__20240221_160717003_v40</t>
  </si>
  <si>
    <t>Basler_acA720-520uc__40068684__20240221_161738893_v20</t>
  </si>
  <si>
    <t>Basler_acA720-520uc__40068684__20240221_163017484_v30</t>
  </si>
  <si>
    <t>Basler_acA720-520uc__40068684__20240221_163956832_v10_2</t>
  </si>
  <si>
    <t>Basler_acA720-520uc__40068684__20240221_164220143_extra5</t>
  </si>
  <si>
    <t>Basler_acA720-520uc__40068684__20240221_164234992_extra10</t>
  </si>
  <si>
    <t>Basler_acA720-520uc__40068684__20240221_164247219_extra20</t>
  </si>
  <si>
    <t>Basler_acA720-520uc__40068684__20240221_164300417_extra30</t>
  </si>
  <si>
    <t>Basler_acA720-520uc__40068684__20240221_164310894_extra40</t>
  </si>
  <si>
    <t>Basler_acA720-520uc__40068684__20240221_164322940_extra50</t>
  </si>
  <si>
    <t>Basler_acA720-520uc__40068684__20240221_164333983_extra60</t>
  </si>
  <si>
    <t>Basler_acA720-520uc__40068684__20240221_171410644_v40</t>
  </si>
  <si>
    <t>Basler_acA720-520uc__40068684__20240221_172530263_v20</t>
  </si>
  <si>
    <t>Basler_acA720-520uc__40068684__20240221_173535510_v10</t>
  </si>
  <si>
    <t>Basler_acA720-520uc__40068684__20240221_174559753_v05</t>
  </si>
  <si>
    <t>Basler_acA720-520uc__40068684__20240221_175553719_v30</t>
  </si>
  <si>
    <t>Basler_acA720-520uc__40068684__20240221_180616179_v40_2</t>
  </si>
  <si>
    <t>Basler_acA720-520uc__40068684__20240221_180940484_0457</t>
  </si>
  <si>
    <t>Basler_acA720-520uc__40068684__20240221_180956187_0186</t>
  </si>
  <si>
    <t>Basler_acA720-520uc__40068684__20240221_181009178_0154</t>
  </si>
  <si>
    <t>Basler_acA720-520uc__40068684__20240221_181024066_0357</t>
  </si>
  <si>
    <t>Basler_acA720-520uc__40068684__20240221_181105392_0072</t>
  </si>
  <si>
    <t>Basler_acA720-520uc__40068684__20240222_095302161_v20</t>
  </si>
  <si>
    <t>Basler_acA720-520uc__40068684__20240222_100309513_v5</t>
  </si>
  <si>
    <t>Basler_acA720-520uc__40068684__20240222_101355258_v40</t>
  </si>
  <si>
    <t>Basler_acA720-520uc__40068684__20240222_102435614_v10</t>
  </si>
  <si>
    <t>Basler_acA720-520uc__40068684__20240222_103502775_v30</t>
  </si>
  <si>
    <t>Basler_acA720-520uc__40068684__20240222_104618280_v10_2</t>
  </si>
  <si>
    <t>Basler_acA720-520uc__40068684__20240222_104741285_extra5</t>
  </si>
  <si>
    <t>Basler_acA720-520uc__40068684__20240222_104754086_extra10</t>
  </si>
  <si>
    <t>Basler_acA720-520uc__40068684__20240222_104814760_extra20</t>
  </si>
  <si>
    <t>Basler_acA720-520uc__40068684__20240222_104826350_extra30</t>
  </si>
  <si>
    <t>Basler_acA720-520uc__40068684__20240222_104838253_extra40</t>
  </si>
  <si>
    <t>Basler_acA720-520uc__40068684__20240222_104850198_extra50</t>
  </si>
  <si>
    <t>Basler_acA720-520uc__40068684__20240222_112526184_v5</t>
  </si>
  <si>
    <t>Basler_acA720-520uc__40068684__20240222_113715945_v40</t>
  </si>
  <si>
    <t>Basler_acA720-520uc__40068684__20240222_114716207_v10</t>
  </si>
  <si>
    <t>Basler_acA720-520uc__40068684__20240222_115807972_v20</t>
  </si>
  <si>
    <t>Basler_acA720-520uc__40068684__20240222_120830467_v30</t>
  </si>
  <si>
    <t>Basler_acA720-520uc__40068684__20240222_121948162_v5_2</t>
  </si>
  <si>
    <t>Basler_acA720-520uc__40068684__20240222_122151376_extra5</t>
  </si>
  <si>
    <t>Basler_acA720-520uc__40068684__20240222_122204125_extra10</t>
  </si>
  <si>
    <t>Basler_acA720-520uc__40068684__20240222_122216133_extra20</t>
  </si>
  <si>
    <t>Basler_acA720-520uc__40068684__20240222_122248182_extra30</t>
  </si>
  <si>
    <t>Basler_acA720-520uc__40068684__20240222_122300570_extra40</t>
  </si>
  <si>
    <t>Basler_acA720-520uc__40068684__20240222_142316621_v10</t>
  </si>
  <si>
    <t>Basler_acA720-520uc__40068684__20240222_143356873_v40</t>
  </si>
  <si>
    <t>Basler_acA720-520uc__40068684__20240222_144355829_v20</t>
  </si>
  <si>
    <t>Basler_acA720-520uc__40068684__20240222_145658028_v5</t>
  </si>
  <si>
    <t>Basler_acA720-520uc__40068684__20240222_150626615_v30</t>
  </si>
  <si>
    <t>Basler_acA720-520uc__40068684__20240222_151708470_v10_2</t>
  </si>
  <si>
    <t>Basler_acA720-520uc__40068684__20240222_151754146_extra5</t>
  </si>
  <si>
    <t>Basler_acA720-520uc__40068684__20240222_151805044_extra10</t>
  </si>
  <si>
    <t>Basler_acA720-520uc__40068684__20240222_151817045_extra20</t>
  </si>
  <si>
    <t>Basler_acA720-520uc__40068684__20240222_151828860_extra30</t>
  </si>
  <si>
    <t>Basler_acA720-520uc__40068684__20240222_151841547_extra40</t>
  </si>
  <si>
    <t>Basler_acA720-520uc__40068684__20240222_151853404_extra50</t>
  </si>
  <si>
    <t>Basler_acA720-520uc__40068684__20240222_170546209_v40</t>
  </si>
  <si>
    <t>Basler_acA720-520uc__40068684__20240222_171513258_v10</t>
  </si>
  <si>
    <t>Basler_acA720-520uc__40068684__20240222_172535245_v5</t>
  </si>
  <si>
    <t>Basler_acA720-520uc__40068684__20240222_173620741_v20</t>
  </si>
  <si>
    <t>Basler_acA720-520uc__40068684__20240222_174629500_v30</t>
  </si>
  <si>
    <t>Basler_acA720-520uc__40068684__20240222_175207580_0270</t>
  </si>
  <si>
    <t>Basler_acA720-520uc__40068684__20240222_175220177_0279</t>
  </si>
  <si>
    <t>Basler_acA720-520uc__40068684__20240222_175229483_0276</t>
  </si>
  <si>
    <t>Basler_acA720-520uc__40068684__20240222_175241701_0206</t>
  </si>
  <si>
    <t>Basler_acA720-520uc__40068684__20240222_175253230_0197</t>
  </si>
  <si>
    <t>Basler_acA720-520uc__40068684__20240222_183139229_v5</t>
  </si>
  <si>
    <t>Basler_acA720-520uc__40068684__20240222_184115210_v10</t>
  </si>
  <si>
    <t>Basler_acA720-520uc__40068684__20240222_185226453_v40</t>
  </si>
  <si>
    <t>Basler_acA720-520uc__40068684__20240222_190216935_v20</t>
  </si>
  <si>
    <t>Basler_acA720-520uc__40068684__20240222_191712449_v30</t>
  </si>
  <si>
    <t>Basler_acA720-520uc__40068684__20240222_193330844_v5_2</t>
  </si>
  <si>
    <t>Basler_acA720-520uc__40068684__20240222_193430355_extra5</t>
  </si>
  <si>
    <t>Basler_acA720-520uc__40068684__20240222_193443095_extra10</t>
  </si>
  <si>
    <t>Basler_acA720-520uc__40068684__20240222_193455897_extra20</t>
  </si>
  <si>
    <t>Basler_acA720-520uc__40068684__20240222_193507426_extra30</t>
  </si>
  <si>
    <t>Basler_acA720-520uc__40068684__20240222_193523060_extra40</t>
  </si>
  <si>
    <t>Basler_acA720-520uc__40068684__20240223_134628892_v40</t>
  </si>
  <si>
    <t>Basler_acA720-520uc__40068684__20240223_135615253_v20</t>
  </si>
  <si>
    <t>Basler_acA720-520uc__40068684__20240223_140619271_v10</t>
  </si>
  <si>
    <t>Basler_acA720-520uc__40068684__20240223_141634564_v5</t>
  </si>
  <si>
    <t>Basler_acA720-520uc__40068684__20240223_142614346_v30</t>
  </si>
  <si>
    <t>Basler_acA720-520uc__40068684__20240223_143636586_v40</t>
  </si>
  <si>
    <t>Basler_acA720-520uc__40068684__20240223_144025305_extra5</t>
  </si>
  <si>
    <t>Basler_acA720-520uc__40068684__20240223_144036526_extra10</t>
  </si>
  <si>
    <t>Basler_acA720-520uc__40068684__20240223_144049536_extra20</t>
  </si>
  <si>
    <t>Basler_acA720-520uc__40068684__20240223_144109839_extra30</t>
  </si>
  <si>
    <t>Basler_acA720-520uc__40068684__20240223_144207998_extra40</t>
  </si>
  <si>
    <t>Basler_acA720-520uc__40068684__20240223_153706223_v5</t>
  </si>
  <si>
    <t>Basler_acA720-520uc__40068684__20240223_154727639_v20</t>
  </si>
  <si>
    <t>Basler_acA720-520uc__40068684__20240223_155727773_v10</t>
  </si>
  <si>
    <t>Basler_acA720-520uc__40068684__20240223_160751724_v40</t>
  </si>
  <si>
    <t>Basler_acA720-520uc__40068684__20240223_161711622_v30</t>
  </si>
  <si>
    <t>Basler_acA720-520uc__40068684__20240223_162940511_v5_2</t>
  </si>
  <si>
    <t>Basler_acA720-520uc__40068684__20240223_163332682_extra5</t>
  </si>
  <si>
    <t>Basler_acA720-520uc__40068684__20240223_163345137_extra10</t>
  </si>
  <si>
    <t>Basler_acA720-520uc__40068684__20240223_163358814_extra20</t>
  </si>
  <si>
    <t>Basler_acA720-520uc__40068684__20240223_163411388_extra30</t>
  </si>
  <si>
    <t>Basler_acA720-520uc__40068684__20240223_163431939_extra40</t>
  </si>
  <si>
    <t>Basler_acA720-520uc__40068684__20240223_171016238_v10</t>
  </si>
  <si>
    <t>Basler_acA720-520uc__40068684__20240223_172017767_v5</t>
  </si>
  <si>
    <t>Basler_acA720-520uc__40068684__20240223_173026646_v20</t>
  </si>
  <si>
    <t>Basler_acA720-520uc__40068684__20240223_174044658_v40</t>
  </si>
  <si>
    <t>Basler_acA720-520uc__40068684__20240223_175115654_v30</t>
  </si>
  <si>
    <t>Basler_acA720-520uc__40068684__20240223_180237709_v10_2</t>
  </si>
  <si>
    <t>Basler_acA720-520uc__40068684__20240223_180536166_extra5</t>
  </si>
  <si>
    <t>Basler_acA720-520uc__40068684__20240223_180547937_extra10</t>
  </si>
  <si>
    <t>Basler_acA720-520uc__40068684__20240223_180600761_extra20</t>
  </si>
  <si>
    <t>Basler_acA720-520uc__40068684__20240223_180627730_extra30</t>
  </si>
  <si>
    <t>Basler_acA720-520uc__40068684__20240223_180644368_extra40</t>
  </si>
  <si>
    <t>Basler_acA720-520uc__40068684__20240223_181724204_v40</t>
  </si>
  <si>
    <t>Basler_acA720-520uc__40068684__20240223_182745517_v10</t>
  </si>
  <si>
    <t>Basler_acA720-520uc__40068684__20240223_183730604_v20</t>
  </si>
  <si>
    <t>Basler_acA720-520uc__40068684__20240223_184723768_v5</t>
  </si>
  <si>
    <t>Basler_acA720-520uc__40068684__20240223_185721485_v30</t>
  </si>
  <si>
    <t>Basler_acA720-520uc__40068684__20240223_190720689_v40_2</t>
  </si>
  <si>
    <t>Basler_acA720-520uc__40068684__20240223_191740523_v10_2</t>
  </si>
  <si>
    <t>Basler_acA720-520uc__40068684__20240223_192619560_v30_2_bonus</t>
  </si>
  <si>
    <t>Basler_acA720-520uc__40068684__20240223_192733004_v40_3_bonus</t>
  </si>
  <si>
    <t>Basler_acA720-520uc__40068684__20240223_193013535_extra5</t>
  </si>
  <si>
    <t>Basler_acA720-520uc__40068684__20240223_193025896_extra10</t>
  </si>
  <si>
    <t>Basler_acA720-520uc__40068684__20240223_193037040_extra20</t>
  </si>
  <si>
    <t>Basler_acA720-520uc__40068684__20240223_193048284_extra30</t>
  </si>
  <si>
    <t>Basler_acA720-520uc__40068684__20240223_193059961_extra40</t>
  </si>
  <si>
    <t>Basler_acA720-520uc__40068684__20240223_193112235_extra50</t>
  </si>
  <si>
    <t>Basler_acA720-520uc__40068684__20240223_193131584_extra70</t>
  </si>
  <si>
    <t>Basler_acA720-520uc__40068684__20240223_193223488_extra100</t>
  </si>
  <si>
    <t>Basler_acA720-520uc__40068684__20240223_200112565_R7v20</t>
  </si>
  <si>
    <t>Basler_acA720-520uc__40068684__20240223_201215322_R7v40</t>
  </si>
  <si>
    <t>Basler_acA720-520uc__40068684__20240223_202304350_R7v5</t>
  </si>
  <si>
    <t>Basler_acA720-520uc__40068684__20240223_203422817_R7v10</t>
  </si>
  <si>
    <t>Basler_acA720-520uc__40068684__20240224_135327465_v5</t>
  </si>
  <si>
    <t>Basler_acA720-520uc__40068684__20240224_140319137_v20</t>
  </si>
  <si>
    <t>Basler_acA720-520uc__40068684__20240224_141450295_v40</t>
  </si>
  <si>
    <t>Basler_acA720-520uc__40068684__20240224_142648280_v10</t>
  </si>
  <si>
    <t>Basler_acA720-520uc__40068684__20240224_143623623_v30</t>
  </si>
  <si>
    <t>Basler_acA720-520uc__40068684__20240224_144617517_v5_2</t>
  </si>
  <si>
    <t>Basler_acA720-520uc__40068684__20240224_145028202_extra5</t>
  </si>
  <si>
    <t>Basler_acA720-520uc__40068684__20240224_145039063_extra10</t>
  </si>
  <si>
    <t>Basler_acA720-520uc__40068684__20240224_145050774_extra20</t>
  </si>
  <si>
    <t>Basler_acA720-520uc__40068684__20240224_145108959_extra30</t>
  </si>
  <si>
    <t>Basler_acA720-520uc__40068684__20240224_145123156_extra40</t>
  </si>
  <si>
    <t>Basler_acA720-520uc__40068684__20240224_150417682_v40</t>
  </si>
  <si>
    <t>Basler_acA720-520uc__40068684__20240224_151437220_v10</t>
  </si>
  <si>
    <t>Basler_acA720-520uc__40068684__20240224_152444630_v5</t>
  </si>
  <si>
    <t>Basler_acA720-520uc__40068684__20240224_153523969_v20</t>
  </si>
  <si>
    <t>Basler_acA720-520uc__40068684__20240224_154552184_v30</t>
  </si>
  <si>
    <t>Basler_acA720-520uc__40068684__20240224_155601811_v40_2</t>
  </si>
  <si>
    <t>Basler_acA720-520uc__40068684__20240224_155902627_xtra5</t>
  </si>
  <si>
    <t>Basler_acA720-520uc__40068684__20240224_155920778_xtra10</t>
  </si>
  <si>
    <t>Basler_acA720-520uc__40068684__20240224_155932071_xtra20</t>
  </si>
  <si>
    <t>Basler_acA720-520uc__40068684__20240224_155943484_xtra30</t>
  </si>
  <si>
    <t>Basler_acA720-520uc__40068684__20240224_155955313_xtra40</t>
  </si>
  <si>
    <t>Basler_acA720-520uc__40068684__20240224_160843425_v20</t>
  </si>
  <si>
    <t>a refaire</t>
  </si>
  <si>
    <t>Basler_acA720-520uc__40068684__20240224_161848345_v5</t>
  </si>
  <si>
    <t>Basler_acA720-520uc__40068684__20240224_162933089_v10</t>
  </si>
  <si>
    <t>Basler_acA720-520uc__40068684__20240224_164042379_v40</t>
  </si>
  <si>
    <t>Basler_acA720-520uc__40068684__20240224_165054123_v30</t>
  </si>
  <si>
    <t>KO</t>
  </si>
  <si>
    <t>Basler_acA720-520uc__40068684__20240224_170028463_v20_2</t>
  </si>
  <si>
    <t>Basler_acA720-520uc__40068684__20240224_170240646_xtra30</t>
  </si>
  <si>
    <t>Basler_acA720-520uc__40068684__20240224_170251290_xtra5</t>
  </si>
  <si>
    <t>Basler_acA720-520uc__40068684__20240224_170309442_xtra20</t>
  </si>
  <si>
    <t>Basler_acA720-520uc__40068684__20240224_172011722_v40</t>
  </si>
  <si>
    <t>bof</t>
  </si>
  <si>
    <t>Basler_acA720-520uc__40068684__20240224_173004566_v20</t>
  </si>
  <si>
    <t>Basler_acA720-520uc__40068684__20240224_174030632_v5</t>
  </si>
  <si>
    <t>Basler_acA720-520uc__40068684__20240224_175051281_v10</t>
  </si>
  <si>
    <t>Basler_acA720-520uc__40068684__20240224_180031306_v30</t>
  </si>
  <si>
    <t>Basler_acA720-520uc__40068684__20240224_181042285_v40_2</t>
  </si>
  <si>
    <t>Basler_acA720-520uc__40068684__20240224_181326928_x5</t>
  </si>
  <si>
    <t>Basler_acA720-520uc__40068684__20240224_181339729_x10</t>
  </si>
  <si>
    <t>Basler_acA720-520uc__40068684__20240224_181350897_x20</t>
  </si>
  <si>
    <t>Basler_acA720-520uc__40068684__20240224_181401673_x30</t>
  </si>
  <si>
    <t>Basler_acA720-520uc__40068684__20240224_181411517_x40</t>
  </si>
  <si>
    <t>Basler_acA720-520uc__40068684__20240224_182343154_v5</t>
  </si>
  <si>
    <t>ok</t>
  </si>
  <si>
    <t>Basler_acA720-520uc__40068684__20240224_183537540_v10</t>
  </si>
  <si>
    <t>Basler_acA720-520uc__40068684__20240224_184720292_v40</t>
  </si>
  <si>
    <t>Basler_acA720-520uc__40068684__20240224_185829303_v20</t>
  </si>
  <si>
    <t>Basler_acA720-520uc__40068684__20240224_190952795_v30</t>
  </si>
  <si>
    <t>Basler_acA720-520uc__40068684__20240224_191840462_v5_2</t>
  </si>
  <si>
    <t>Basler_acA720-520uc__40068684__20240224_192018269_x5</t>
  </si>
  <si>
    <t>Basler_acA720-520uc__40068684__20240224_192030875_x10</t>
  </si>
  <si>
    <t>Basler_acA720-520uc__40068684__20240224_192048004_x20</t>
  </si>
  <si>
    <t>Basler_acA720-520uc__40068684__20240224_192059986_x30</t>
  </si>
  <si>
    <t>Basler_acA720-520uc__40068684__20240224_192111489_x40</t>
  </si>
  <si>
    <t>Basler_acA720-520uc__40068684__20240224_192126678_x100</t>
  </si>
  <si>
    <t>Basler_acA720-520uc__40068684__20240225_134143685_v40</t>
  </si>
  <si>
    <t>Basler_acA720-520uc__40068684__20240225_135304941_v20</t>
  </si>
  <si>
    <t>valide mais images pas meilleures preuves</t>
  </si>
  <si>
    <t>Basler_acA720-520uc__40068684__20240225_140330368_v10</t>
  </si>
  <si>
    <t>Basler_acA720-520uc__40068684__20240225_141405363_v5</t>
  </si>
  <si>
    <t>Basler_acA720-520uc__40068684__20240225_142439470_v30</t>
  </si>
  <si>
    <t>Basler_acA720-520uc__40068684__20240225_143533235_v40_2</t>
  </si>
  <si>
    <t>Basler_acA720-520uc__40068684__20240225_143845605_v100</t>
  </si>
  <si>
    <t>Basler_acA720-520uc__40068684__20240225_144811052_v70</t>
  </si>
  <si>
    <t>Basler_acA720-520uc__40068684__20240225_144910662_v2</t>
  </si>
  <si>
    <t>Basler_acA720-520uc__40068684__20240225_145122480_x5</t>
  </si>
  <si>
    <t>Basler_acA720-520uc__40068684__20240225_145137161_x10</t>
  </si>
  <si>
    <t>Basler_acA720-520uc__40068684__20240225_145153930_x20</t>
  </si>
  <si>
    <t>Basler_acA720-520uc__40068684__20240225_145205530_x30</t>
  </si>
  <si>
    <t>Basler_acA720-520uc__40068684__20240225_145217855_x40</t>
  </si>
  <si>
    <t>Basler_acA720-520uc__40068684__20240225_145229755_x70</t>
  </si>
  <si>
    <t>Basler_acA720-520uc__40068684__20240225_145242821_x100</t>
  </si>
  <si>
    <t>Basler_acA720-520uc__40068684__20240225_150145898_v10</t>
  </si>
  <si>
    <t>a refaire idealement</t>
  </si>
  <si>
    <t>Basler_acA720-520uc__40068684__20240225_151248995_v5</t>
  </si>
  <si>
    <t>Basler_acA720-520uc__40068684__20240225_152305288_v40</t>
  </si>
  <si>
    <t>Basler_acA720-520uc__40068684__20240225_153309984_v20</t>
  </si>
  <si>
    <t>Basler_acA720-520uc__40068684__20240225_154304920_v30</t>
  </si>
  <si>
    <t>Basler_acA720-520uc__40068684__20240225_155304701_v10_2</t>
  </si>
  <si>
    <t>Basler_acA720-520uc__40068684__20240225_155515257_x5</t>
  </si>
  <si>
    <t>Basler_acA720-520uc__40068684__20240225_155530105_x10</t>
  </si>
  <si>
    <t>Basler_acA720-520uc__40068684__20240225_155543686_x20</t>
  </si>
  <si>
    <t>Basler_acA720-520uc__40068684__20240225_155554876_x30</t>
  </si>
  <si>
    <t>Basler_acA720-520uc__40068684__20240225_155608455_x40</t>
  </si>
  <si>
    <t>Basler_acA720-520uc__40068684__20240225_155621681_x100</t>
  </si>
  <si>
    <t>Basler_acA720-520uc__40068684__20240225_160231437_v20</t>
  </si>
  <si>
    <t>Basler_acA720-520uc__40068684__20240225_161234520_v5</t>
  </si>
  <si>
    <t>Basler_acA720-520uc__40068684__20240225_162344726_v10</t>
  </si>
  <si>
    <t>Basler_acA720-520uc__40068684__20240225_163330190_v40</t>
  </si>
  <si>
    <t>Basler_acA720-520uc__40068684__20240225_164358369_v30_rep</t>
  </si>
  <si>
    <t>Basler_acA720-520uc__40068684__20240225_165359954_v20_2</t>
  </si>
  <si>
    <t>Basler_acA720-520uc__40068684__20240225_165447068_x5</t>
  </si>
  <si>
    <t>Basler_acA720-520uc__40068684__20240225_165459399_x10</t>
  </si>
  <si>
    <t>Basler_acA720-520uc__40068684__20240225_165513615_x20</t>
  </si>
  <si>
    <t>Basler_acA720-520uc__40068684__20240225_165526357_x30</t>
  </si>
  <si>
    <t>Basler_acA720-520uc__40068684__20240225_165537488_x40</t>
  </si>
  <si>
    <t>Basler_acA720-520uc__40068684__20240225_171227600_v20</t>
  </si>
  <si>
    <t>Basler_acA720-520uc__40068684__20240225_172206932_v10</t>
  </si>
  <si>
    <t>Basler_acA720-520uc__40068684__20240225_173209768_v5</t>
  </si>
  <si>
    <t>Basler_acA720-520uc__40068684__20240225_174234611_v40</t>
  </si>
  <si>
    <t>Basler_acA720-520uc__40068684__20240225_175100446_v30</t>
  </si>
  <si>
    <t>Basler_acA720-520uc__40068684__20240225_180225871_v20_2</t>
  </si>
  <si>
    <t>Basler_acA720-520uc__40068684__20240225_180332480_v40tem</t>
  </si>
  <si>
    <t>Basler_acA720-520uc__40068684__20240225_180534507_x5</t>
  </si>
  <si>
    <t>Basler_acA720-520uc__40068684__20240225_180551776_x10</t>
  </si>
  <si>
    <t>Basler_acA720-520uc__40068684__20240225_180607395_x20</t>
  </si>
  <si>
    <t>Basler_acA720-520uc__40068684__20240225_180625960_x30</t>
  </si>
  <si>
    <t>Basler_acA720-520uc__40068684__20240225_180637943_x40</t>
  </si>
  <si>
    <t>Basler_acA720-520uc__40068684__20240225_180658913_x100</t>
  </si>
  <si>
    <t>Basler_acA720-520uc__40068684__20240226_100207805_v5</t>
  </si>
  <si>
    <t>Basler_acA720-520uc__40068684__20240226_101247084_v20</t>
  </si>
  <si>
    <t>Basler_acA720-520uc__40068684__20240226_102207989_v10biais</t>
  </si>
  <si>
    <t>Basler_acA720-520uc__40068684__20240226_103419483_v40</t>
  </si>
  <si>
    <t>Basler_acA720-520uc__40068684__20240226_104402377_v30</t>
  </si>
  <si>
    <t>Basler_acA720-520uc__40068684__20240226_105617727_v5_2</t>
  </si>
  <si>
    <t>Basler_acA720-520uc__40068684__20240226_110733478_v100</t>
  </si>
  <si>
    <t>Basler_acA720-520uc__40068684__20240226_112057569_v70</t>
  </si>
  <si>
    <t>Basler_acA720-520uc__40068684__20240226_112356892_x5</t>
  </si>
  <si>
    <t>Basler_acA720-520uc__40068684__20240226_112409914_x10</t>
  </si>
  <si>
    <t>Basler_acA720-520uc__40068684__20240226_112422811_x20</t>
  </si>
  <si>
    <t>Basler_acA720-520uc__40068684__20240226_112443066_x30</t>
  </si>
  <si>
    <t>Basler_acA720-520uc__40068684__20240226_112455502_x40</t>
  </si>
  <si>
    <t>Basler_acA720-520uc__40068684__20240226_112513469_x100</t>
  </si>
  <si>
    <t>Basler_acA720-520uc__40068684__20240226_113039555_v40</t>
  </si>
  <si>
    <t>Basler_acA720-520uc__40068684__20240226_114313069_v5</t>
  </si>
  <si>
    <t>Basler_acA720-520uc__40068684__20240226_115304389_v10</t>
  </si>
  <si>
    <t>Basler_acA720-520uc__40068684__20240226_120645685_v20</t>
  </si>
  <si>
    <t>Basler_acA720-520uc__40068684__20240226_121818946_v30</t>
  </si>
  <si>
    <t>Basler_acA720-520uc__40068684__20240226_122900542_v40_2</t>
  </si>
  <si>
    <t>Basler_acA720-520uc__40068684__20240226_123417206_x5</t>
  </si>
  <si>
    <t>Basler_acA720-520uc__40068684__20240226_123452729_x10</t>
  </si>
  <si>
    <t>Basler_acA720-520uc__40068684__20240226_123504945_x20</t>
  </si>
  <si>
    <t>Basler_acA720-520uc__40068684__20240226_123520402_x30</t>
  </si>
  <si>
    <t>Basler_acA720-520uc__40068684__20240226_123539568_x40</t>
  </si>
  <si>
    <t>Basler_acA720-520uc__40068684__20240226_142919180_v5</t>
  </si>
  <si>
    <t>Basler_acA720-520uc__40068684__20240226_143940112_v20</t>
  </si>
  <si>
    <t>Basler_acA720-520uc__40068684__20240226_144918869_v40</t>
  </si>
  <si>
    <t>Basler_acA720-520uc__40068684__20240226_145930486_v10</t>
  </si>
  <si>
    <t>Basler_acA720-520uc__40068684__20240226_150908788_v30</t>
  </si>
  <si>
    <t>Basler_acA720-520uc__40068684__20240226_151919327_v5_2</t>
  </si>
  <si>
    <t>Basler_acA720-520uc__40068684__20240226_152032555_x5</t>
  </si>
  <si>
    <t>Basler_acA720-520uc__40068684__20240226_152045641_x10</t>
  </si>
  <si>
    <t>Basler_acA720-520uc__40068684__20240226_152058016_x20</t>
  </si>
  <si>
    <t>Basler_acA720-520uc__40068684__20240226_152114082_x30</t>
  </si>
  <si>
    <t>Basler_acA720-520uc__40068684__20240226_152127873_x40</t>
  </si>
  <si>
    <t>Basler_acA720-520uc__40068684__20240226_152141145_x100</t>
  </si>
  <si>
    <t>Basler_acA720-520uc__40068684__20240226_172155558_v20</t>
  </si>
  <si>
    <t>Basler_acA720-520uc__40068684__20240226_173638338_v5</t>
  </si>
  <si>
    <t>Basler_acA720-520uc__40068684__20240226_174736628_v10</t>
  </si>
  <si>
    <t>Basler_acA720-520uc__40068684__20240226_175718592_v40</t>
  </si>
  <si>
    <t>Basler_acA720-520uc__40068684__20240226_180741619_v30</t>
  </si>
  <si>
    <t>Basler_acA720-520uc__40068684__20240227_103241298_v40</t>
  </si>
  <si>
    <t>Basler_acA720-520uc__40068684__20240227_104246353_v5</t>
  </si>
  <si>
    <t>Basler_acA720-520uc__40068684__20240227_105306755_v10</t>
  </si>
  <si>
    <t>Basler_acA720-520uc__40068684__20240227_110354073_v20</t>
  </si>
  <si>
    <t>Basler_acA720-520uc__40068684__20240227_111340430_v30</t>
  </si>
  <si>
    <t>Basler_acA720-520uc__40068684__20240227_112516477_v402</t>
  </si>
  <si>
    <t>Basler_acA720-520uc__40068684__20240227_112846047_v10</t>
  </si>
  <si>
    <t>Basler_acA720-520uc__40068684__20240227_113854274_v5</t>
  </si>
  <si>
    <t>Basler_acA720-520uc__40068684__20240227_114902384_v20</t>
  </si>
  <si>
    <t>Basler_acA720-520uc__40068684__20240227_115910691_v40</t>
  </si>
  <si>
    <t>Basler_acA720-520uc__40068684__20240227_120941294_v30</t>
  </si>
  <si>
    <t>Basler_acA720-520uc__40068684__20240227_121925828_v10_2</t>
  </si>
  <si>
    <t>Basler_acA720-520uc__40068684__20240227_123207030_v100</t>
  </si>
  <si>
    <t>Basler_acA720-520uc__40068684__20240227_142231243_v5</t>
  </si>
  <si>
    <t>Basler_acA720-520uc__40068684__20240227_143229210_v10</t>
  </si>
  <si>
    <t>Basler_acA720-520uc__40068684__20240227_144450857_v40</t>
  </si>
  <si>
    <t>Basler_acA720-520uc__40068684__20240227_145424548_20</t>
  </si>
  <si>
    <t>Basler_acA720-520uc__40068684__20240227_150543661_v30</t>
  </si>
  <si>
    <t>Basler_acA720-520uc__40068684__20240227_151749569_v5_2</t>
  </si>
  <si>
    <t>Basler_acA720-520uc__40068684__20240227_153205163_v100</t>
  </si>
  <si>
    <t>Basler_acA720-520uc__40068684__20240227_153930657_v40</t>
  </si>
  <si>
    <t>Basler_acA720-520uc__40068684__20240227_155007457_v20</t>
  </si>
  <si>
    <t>Basler_acA720-520uc__40068684__20240227_155947872_v5</t>
  </si>
  <si>
    <t>Basler_acA720-520uc__40068684__20240227_161024155_v10</t>
  </si>
  <si>
    <t>Basler_acA720-520uc__40068684__20240227_162035135_v30</t>
  </si>
  <si>
    <t>Basler_acA720-520uc__40068684__20240227_163128483_v40_2</t>
  </si>
  <si>
    <t>Basler_acA720-520uc__40068684__20240227_164148615_v100</t>
  </si>
  <si>
    <t>Basler_acA720-520uc__40068684__20240227_164759046_v5</t>
  </si>
  <si>
    <t>Basler_acA720-520uc__40068684__20240227_165832142_v10</t>
  </si>
  <si>
    <t>Basler_acA720-520uc__40068684__20240227_170830970_v20</t>
  </si>
  <si>
    <t>Basler_acA720-520uc__40068684__20240227_172008294_v40</t>
  </si>
  <si>
    <t>Basler_acA720-520uc__40068684__20240227_173241510_v30</t>
  </si>
  <si>
    <t>Basler_acA720-520uc__40068684__20240227_174203579_v5_2</t>
  </si>
  <si>
    <t>Basler_acA720-520uc__40068684__20240227_175258059_v2</t>
  </si>
  <si>
    <t>Basler_acA720-520uc__40068684__20240227_175450840_face20</t>
  </si>
  <si>
    <t>Basler_acA720-520uc__40068684__20240227_175507574_face40</t>
  </si>
  <si>
    <t>Basler_acA720-520uc__40068684__20240227_175534892_face5</t>
  </si>
  <si>
    <t>Basler_acA720-520uc__40068684__20240227_175551048_face100</t>
  </si>
  <si>
    <t>Basler_acA720-520uc__40068684__20240227_181048323_v5</t>
  </si>
  <si>
    <t>Basler_acA720-520uc__40068684__20240227_182022533_v40</t>
  </si>
  <si>
    <t>Basler_acA720-520uc__40068684__20240227_183019052_v10</t>
  </si>
  <si>
    <t>Basler_acA720-520uc__40068684__20240227_184023479_v20</t>
  </si>
  <si>
    <t>Basler_acA720-520uc__40068684__20240227_185124928_v30</t>
  </si>
  <si>
    <t>Basler_acA720-520uc__40068684__20240227_190100499_v5_2</t>
  </si>
  <si>
    <t>Basler_acA720-520uc__40068684__20240228_141845639_v40</t>
  </si>
  <si>
    <t>Basler_acA720-520uc__40068684__20240228_142918222_v10_mod</t>
  </si>
  <si>
    <t>Basler_acA720-520uc__40068684__20240228_144114699_v5</t>
  </si>
  <si>
    <t>Basler_acA720-520uc__40068684__20240228_145045594_v20_mod</t>
  </si>
  <si>
    <t>Basler_acA720-520uc__40068684__20240228_150116065_v30</t>
  </si>
  <si>
    <t>Basler_acA720-520uc__40068684__20240228_151131615_v40_2</t>
  </si>
  <si>
    <t>Basler_acA720-520uc__40068684__20240228_152112974_v100</t>
  </si>
  <si>
    <t>Basler_acA720-520uc__40068684__20240228_153527244_v10</t>
  </si>
  <si>
    <t>Basler_acA720-520uc__40068684__20240228_154502819_v40</t>
  </si>
  <si>
    <t>Basler_acA720-520uc__40068684__20240228_155600822_v5</t>
  </si>
  <si>
    <t>Basler_acA720-520uc__40068684__20240228_160550404_v20</t>
  </si>
  <si>
    <t>Basler_acA720-520uc__40068684__20240228_161535128_v30</t>
  </si>
  <si>
    <t>Basler_acA720-520uc__40068684__20240228_162542875_v10_2</t>
  </si>
  <si>
    <t>Basler_acA720-520uc__40068684__20240228_163500605_v100</t>
  </si>
  <si>
    <t>Basler_acA720-520uc__40068684__20240228_164016818_v10</t>
  </si>
  <si>
    <t>Basler_acA720-520uc__40068684__20240228_165008400_v5</t>
  </si>
  <si>
    <t>Basler_acA720-520uc__40068684__20240228_165918669_v20</t>
  </si>
  <si>
    <t>Basler_acA720-520uc__40068684__20240228_170943927_v40</t>
  </si>
  <si>
    <t>Basler_acA720-520uc__40068684__20240228_171918387_v30</t>
  </si>
  <si>
    <t>Basler_acA720-520uc__40068684__20240228_172926240_v10_2</t>
  </si>
  <si>
    <t>Basler_acA720-520uc__40068684__20240228_173522772_v20</t>
  </si>
  <si>
    <t>Basler_acA720-520uc__40068684__20240228_174810971_v10</t>
  </si>
  <si>
    <t>Basler_acA720-520uc__40068684__20240228_180400500_v5</t>
  </si>
  <si>
    <t>Basler_acA720-520uc__40068684__20240228_181439952_v40</t>
  </si>
  <si>
    <t>Basler_acA720-520uc__40068684__20240228_182421366_v30</t>
  </si>
  <si>
    <t>Basler_acA720-520uc__40068684__20240228_183449119_v20_2</t>
  </si>
  <si>
    <t>Basler_acA720-520uc__40068684__20240229_143448071_v40</t>
  </si>
  <si>
    <t>Basler_acA720-520uc__40068684__20240229_144932851_v10</t>
  </si>
  <si>
    <t>Basler_acA720-520uc__40068684__20240229_145914494_v20</t>
  </si>
  <si>
    <t>Basler_acA720-520uc__40068684__20240229_151127535_v5</t>
  </si>
  <si>
    <t>Basler_acA720-520uc__40068684__20240229_152142867_v30</t>
  </si>
  <si>
    <t>Basler_acA720-520uc__40068684__20240229_153555358_v40_2</t>
  </si>
  <si>
    <t>Basler_acA720-520uc__40068684__20240229_155236907_v10</t>
  </si>
  <si>
    <t>Basler_acA720-520uc__40068684__20240229_160006380_v20</t>
  </si>
  <si>
    <t>Basler_acA720-520uc__40068684__20240229_160938217_v40</t>
  </si>
  <si>
    <t>Basler_acA720-520uc__40068684__20240229_162205349_v5</t>
  </si>
  <si>
    <t>Basler_acA720-520uc__40068684__20240229_163117049_v30</t>
  </si>
  <si>
    <t>Basler_acA720-520uc__40068684__20240229_164550693_v10_2</t>
  </si>
  <si>
    <t>Basler_acA720-520uc__40068684__20240301_135012299_v5</t>
  </si>
  <si>
    <t>Basler_acA720-520uc__40068684__20240301_140148310_v20</t>
  </si>
  <si>
    <t>Basler_acA720-520uc__40068684__20240301_141143021_v10</t>
  </si>
  <si>
    <t>Basler_acA720-520uc__40068684__20240301_142431093_v40</t>
  </si>
  <si>
    <t>Basler_acA720-520uc__40068684__20240301_143536744_v30</t>
  </si>
  <si>
    <t>Basler_acA720-520uc__40068684__20240301_144656709_v5_2</t>
  </si>
  <si>
    <t>Basler_acA720-520uc__40068684__20240301_145517880_face20</t>
  </si>
  <si>
    <t>Basler_acA720-520uc__40068684__20240301_145700199_cote20</t>
  </si>
  <si>
    <t>Basler_acA720-520uc__40068684__20240301_145719502_cote1000</t>
  </si>
  <si>
    <t>Basler_acA720-520uc__40068684__20240301_151539920_v20</t>
  </si>
  <si>
    <t>Basler_acA720-520uc__40068684__20240301_152653465_v10</t>
  </si>
  <si>
    <t>Basler_acA720-520uc__40068684__20240301_153704730_v40</t>
  </si>
  <si>
    <t>Basler_acA720-520uc__40068684__20240301_154744367_v5</t>
  </si>
  <si>
    <t>Basler_acA720-520uc__40068684__20240301_155712966_v30</t>
  </si>
  <si>
    <t>Basler_acA720-520uc__40068684__20240301_160752704_v20</t>
  </si>
  <si>
    <t>Basler_acA720-520uc__40068684__20240301_161139547_v100</t>
  </si>
  <si>
    <t>Basler_acA720-520uc__40068684__20240301_163435226_v5</t>
  </si>
  <si>
    <t>Basler_acA720-520uc__40068684__20240301_164413321_v40</t>
  </si>
  <si>
    <t>Basler_acA720-520uc__40068684__20240301_165500146_v10</t>
  </si>
  <si>
    <t>Basler_acA720-520uc__40068684__20240301_170519326_v20</t>
  </si>
  <si>
    <t>Basler_acA720-520uc__40068684__20240301_171540485_v30</t>
  </si>
  <si>
    <t>Basler_acA720-520uc__40068684__20240301_173038165_v5_2</t>
  </si>
  <si>
    <t>Basler_acA720-520uc__40068684__20240301_180923193_v20</t>
  </si>
  <si>
    <t>Basler_acA720-520uc__40068684__20240301_181927100_v40</t>
  </si>
  <si>
    <t>Basler_acA720-520uc__40068684__20240301_183044484_v5</t>
  </si>
  <si>
    <t>Basler_acA720-520uc__40068684__20240301_184033504_v10</t>
  </si>
  <si>
    <t>Basler_acA720-520uc__40068684__20240301_185043440_v30</t>
  </si>
  <si>
    <t>Basler_acA720-520uc__40068684__20240301_190128003_v20</t>
  </si>
  <si>
    <t>Basler_acA720-520uc__40068684__20240301_190226796_v100</t>
  </si>
  <si>
    <t>Basler_acA720-520uc__40068684__20240301_190314024_face20</t>
  </si>
  <si>
    <t>Basler_acA720-520uc__40068684__20240301_190333945_face100</t>
  </si>
  <si>
    <t>Basler_acA720-520uc__40068684__20240302_152633059_v5</t>
  </si>
  <si>
    <t>Basler_acA720-520uc__40068684__20240302_153702340_v40</t>
  </si>
  <si>
    <t>Basler_acA720-520uc__40068684__20240302_154752402_v20</t>
  </si>
  <si>
    <t>Basler_acA720-520uc__40068684__20240302_155647474_v10</t>
  </si>
  <si>
    <t>Basler_acA720-520uc__40068684__20240302_160653082_v30</t>
  </si>
  <si>
    <t>Basler_acA720-520uc__40068684__20240302_161940939_v5_2</t>
  </si>
  <si>
    <t>Basler_acA720-520uc__40068684__20240302_163059297_v100</t>
  </si>
  <si>
    <t>Basler_acA720-520uc__40068684__20240302_164055225_v20</t>
  </si>
  <si>
    <t>Basler_acA720-520uc__40068684__20240302_165113884_v40</t>
  </si>
  <si>
    <t>Basler_acA720-520uc__40068684__20240302_170504626_v5</t>
  </si>
  <si>
    <t>Basler_acA720-520uc__40068684__20240302_171703505_v10_2_plustard</t>
  </si>
  <si>
    <t>Basler_acA720-520uc__40068684__20240302_172802666_v30_plustard</t>
  </si>
  <si>
    <t>Basler_acA720-520uc__40068684__20240302_173804005_v20_2_plustar</t>
  </si>
  <si>
    <t>Basler_acA720-520uc__40068684__20240302_174903793_v100</t>
  </si>
  <si>
    <t>Basler_acA720-520uc__40068684__20240302_175008596_ctrl20</t>
  </si>
  <si>
    <t>Basler_acA720-520uc__40068684__20240302_175338213_R15v20</t>
  </si>
  <si>
    <t>Basler_acA720-520uc__40068684__20240302_175415327_R15v40</t>
  </si>
  <si>
    <t>Basler_acA720-520uc__40068684__20240302_184026703_v10</t>
  </si>
  <si>
    <t>Basler_acA720-520uc__40068684__20240302_185025452_v20</t>
  </si>
  <si>
    <t>Basler_acA720-520uc__40068684__20240302_190018013_v40</t>
  </si>
  <si>
    <t>Basler_acA720-520uc__40068684__20240302_191032429_v5</t>
  </si>
  <si>
    <t>Basler_acA720-520uc__40068684__20240302_192044268_v30</t>
  </si>
  <si>
    <t>Basler_acA720-520uc__40068684__20240302_193031126_v10_2</t>
  </si>
  <si>
    <t>Basler_acA720-520uc__40068684__20240302_194048466_v100</t>
  </si>
  <si>
    <t>Basler_acA720-520uc__40068684__20240303_145410593_v20</t>
  </si>
  <si>
    <t>Basler_acA720-520uc__40068684__20240303_150550701_v40</t>
  </si>
  <si>
    <t>Basler_acA720-520uc__40068684__20240303_151518069_v5</t>
  </si>
  <si>
    <t>Basler_acA720-520uc__40068684__20240303_152556632_v10</t>
  </si>
  <si>
    <t>Basler_acA720-520uc__40068684__20240303_153546119_v30</t>
  </si>
  <si>
    <t>Basler_acA720-520uc__40068684__20240303_154548915_v20</t>
  </si>
  <si>
    <t>Basler_acA720-520uc__40068684__20240303_155519223_v100</t>
  </si>
  <si>
    <t>Basler_acA720-520uc__40068684__20240303_155545989_rec</t>
  </si>
  <si>
    <t>Basler_acA720-520uc__40068684__20240303_155746609_v20test</t>
  </si>
  <si>
    <t>Basler_acA720-520uc__40068684__20240303_155848917_ctrl20</t>
  </si>
  <si>
    <t>Basler_acA720-520uc__40068684__20240303_160058414_ctrl</t>
  </si>
  <si>
    <t>Basler_acA720-520uc__40068684__20240303_160338078_v20FACE</t>
  </si>
  <si>
    <t>Basler_acA720-520uc__40068684__20240303_161531037_v20</t>
  </si>
  <si>
    <t>Basler_acA720-520uc__40068684__20240303_162531930_v10</t>
  </si>
  <si>
    <t>Basler_acA720-520uc__40068684__20240303_163519071_v5</t>
  </si>
  <si>
    <t>Basler_acA720-520uc__40068684__20240303_164611672_v40</t>
  </si>
  <si>
    <t>Basler_acA720-520uc__40068684__20240303_165613021_v30</t>
  </si>
  <si>
    <t>Basler_acA720-520uc__40068684__20240303_170631730_v20_2</t>
  </si>
  <si>
    <t>Basler_acA720-520uc__40068684__20240303_171647134_v100</t>
  </si>
  <si>
    <t>Basler_acA720-520uc__40068684__20240303_171806135_ctrl20</t>
  </si>
  <si>
    <t>Basler_acA720-520uc__40068684__20240303_171940243_ctrl40</t>
  </si>
  <si>
    <t>Basler_acA720-520uc__40068684__20240304_140939628_v20</t>
  </si>
  <si>
    <t>Basler_acA720-520uc__40068684__20240304_141933766_v40</t>
  </si>
  <si>
    <t>Basler_acA720-520uc__40068684__20240304_143226349_v10</t>
  </si>
  <si>
    <t>Basler_acA720-520uc__40068684__20240304_144544226_v5</t>
  </si>
  <si>
    <t>Basler_acA720-520uc__40068684__20240304_145643704_v30</t>
  </si>
  <si>
    <t>Basler_acA720-520uc__40068684__20240304_150642528_v20_2</t>
  </si>
  <si>
    <t>Basler_acA720-520uc__40068684__20240304_150727785_v100</t>
  </si>
  <si>
    <t>Basler_acA720-520uc__40068684__20240304_150828101_ctrl20</t>
  </si>
  <si>
    <t>Basler_acA720-520uc__40068684__20240304_151802757_v5</t>
  </si>
  <si>
    <t>Basler_acA720-520uc__40068684__20240304_152822251_v40</t>
  </si>
  <si>
    <t>Basler_acA720-520uc__40068684__20240304_153840980_v20</t>
  </si>
  <si>
    <t>Basler_acA720-520uc__40068684__20240304_154824828_v10_alt</t>
  </si>
  <si>
    <t>Basler_acA720-520uc__40068684__20240304_155838037_v30</t>
  </si>
  <si>
    <t>Basler_acA720-520uc__40068684__20240304_161319947_v5_2</t>
  </si>
  <si>
    <t>Basler_acA720-520uc__40068684__20240304_161527736_ctrl20</t>
  </si>
  <si>
    <t>Basler_acA720-520uc__40068684__20240304_165209597_R7v10</t>
  </si>
  <si>
    <t>Basler_acA720-520uc__40068684__20240304_170702371_R7v40</t>
  </si>
  <si>
    <t>Basler_acA720-520uc__40068684__20240304_172215958_R15v10</t>
  </si>
  <si>
    <t>Basler_acA720-520uc__40068684__20240304_173724315_R15v40</t>
  </si>
  <si>
    <t>Basler_acA720-520uc__40068684__20240304_175833304_R25v10</t>
  </si>
  <si>
    <t>Basler_acA720-520uc__40068684__20240304_180836914_R25v40</t>
  </si>
  <si>
    <t>Basler_acA720-520uc__40068684__20240304_182345445_R7v10</t>
  </si>
  <si>
    <t>Basler_acA720-520uc__40068684__20240304_183347318_R7v40</t>
  </si>
  <si>
    <t>Basler_acA720-520uc__40068684__20240304_184607299_v20</t>
  </si>
  <si>
    <t>Basler_acA720-520uc__40068684__20240304_185628375_v5</t>
  </si>
  <si>
    <t>Basler_acA720-520uc__40068684__20240304_183644217_v10</t>
  </si>
  <si>
    <t>Basler_acA720-520uc__40068684__20240304_190641644_v40</t>
  </si>
  <si>
    <t>Basler_acA720-520uc__40068684__20240304_191611987_v30</t>
  </si>
  <si>
    <t>Basler_acA720-520uc__40068684__20240304_192654639_v20_2</t>
  </si>
  <si>
    <t>Basler_acA720-520uc__40068684__20240305_155014212_v10</t>
  </si>
  <si>
    <t>Basler_acA720-520uc__40068684__20240305_160034448_v40</t>
  </si>
  <si>
    <t>Basler_acA720-520uc__40068684__20240305_161044196_v5</t>
  </si>
  <si>
    <t>Basler_acA720-520uc__40068684__20240305_162519883_v20</t>
  </si>
  <si>
    <t>Basler_acA720-520uc__40068684__20240305_163529224_v30</t>
  </si>
  <si>
    <t>Basler_acA720-520uc__40068684__20240305_164721943_v10_2</t>
  </si>
  <si>
    <t>Basler_acA720-520uc__40068684__20240305_165339564_face20</t>
  </si>
  <si>
    <t>Basler_acA720-520uc__40068684__20240305_172747755_R15v10</t>
  </si>
  <si>
    <t>Basler_acA720-520uc__40068684__20240305_173827282_R15v40</t>
  </si>
  <si>
    <t>Basler_acA720-520uc__40068684__20240305_175438221_R7v10</t>
  </si>
  <si>
    <t>Basler_acA720-520uc__40068684__20240305_180422206_R7v40</t>
  </si>
  <si>
    <t>Basler_acA720-520uc__40068684__20240305_181613425_R25v10</t>
  </si>
  <si>
    <t>Basler_acA720-520uc__40068684__20240305_182544029_R25v40</t>
  </si>
  <si>
    <t>Basler_acA720-520uc__40068684__20240305_183648510_R15v10_2</t>
  </si>
  <si>
    <t>Basler_acA720-520uc__40068684__20240305_184615131_R15v40_2</t>
  </si>
  <si>
    <t>Basler_acA720-520uc__40068684__20240305_184656095_ctrl40</t>
  </si>
  <si>
    <t>Basler_acA720-520uc__40068684__20240306_112741772_v20</t>
  </si>
  <si>
    <t>Basler_acA720-520uc__40068684__20240306_113624095_v40</t>
  </si>
  <si>
    <t>Basler_acA720-520uc__40068684__20240306_114722237_v10</t>
  </si>
  <si>
    <t>Basler_acA720-520uc__40068684__20240306_115858884_v5</t>
  </si>
  <si>
    <t>Basler_acA720-520uc__40068684__20240306_120850847_v30</t>
  </si>
  <si>
    <t>Basler_acA720-520uc__40068684__20240306_121843156_v20_2</t>
  </si>
  <si>
    <t>Basler_acA720-520uc__40068684__20240306_122137048_ctrl20</t>
  </si>
  <si>
    <t>Basler_acA720-520uc__40068684__20240306_140154184_v40</t>
  </si>
  <si>
    <t>Basler_acA720-520uc__40068684__20240306_141145971_v5</t>
  </si>
  <si>
    <t>Basler_acA720-520uc__40068684__20240306_142345942_v10</t>
  </si>
  <si>
    <t>Basler_acA720-520uc__40068684__20240306_143340968_v20</t>
  </si>
  <si>
    <t>Basler_acA720-520uc__40068684__20240306_144423302_v30</t>
  </si>
  <si>
    <t>Basler_acA720-520uc__40068684__20240306_145511993_v40_2</t>
  </si>
  <si>
    <t>Basler_acA720-520uc__40068684__20240306_150404039_v100</t>
  </si>
  <si>
    <t>Basler_acA720-520uc__40068684__20240306_150527724_ctrl20</t>
  </si>
  <si>
    <t>Basler_acA720-520uc__40068684__20240306_152648766_v10</t>
  </si>
  <si>
    <t>Basler_acA720-520uc__40068684__20240306_153640939_v5</t>
  </si>
  <si>
    <t>Basler_acA720-520uc__40068684__20240306_154611844_v20</t>
  </si>
  <si>
    <t>Basler_acA720-520uc__40068684__20240306_155628000_v40</t>
  </si>
  <si>
    <t>Basler_acA720-520uc__40068684__20240306_160627343_v30</t>
  </si>
  <si>
    <t>Basler_acA720-520uc__40068684__20240306_161854249_v10_2</t>
  </si>
  <si>
    <t>ctrl202</t>
  </si>
  <si>
    <t>Basler_acA720-520uc__40068684__20240306_171243451_v5</t>
  </si>
  <si>
    <t>Basler_acA720-520uc__40068684__20240306_172514702_v40</t>
  </si>
  <si>
    <t>Basler_acA720-520uc__40068684__20240306_173334121_v20</t>
  </si>
  <si>
    <t>Basler_acA720-520uc__40068684__20240306_174408801_v10</t>
  </si>
  <si>
    <t>Basler_acA720-520uc__40068684__20240306_175017580_v30</t>
  </si>
  <si>
    <t>Basler_acA720-520uc__40068684__20240306_175629468_v5_2</t>
  </si>
  <si>
    <t>cropped</t>
  </si>
  <si>
    <t>Basler_acA720-520uc__40068684__20240307_153216282_R15v10</t>
  </si>
  <si>
    <t>Basler_acA720-520uc__40068684__20240307_154336834_R15v40</t>
  </si>
  <si>
    <t>Basler_acA720-520uc__40068684__20240307_155720481_R25v10</t>
  </si>
  <si>
    <t>Basler_acA720-520uc__40068684__20240307_160702489_R25v40</t>
  </si>
  <si>
    <t>Basler_acA720-520uc__40068684__20240307_162211407_R7v10</t>
  </si>
  <si>
    <t>Basler_acA720-520uc__40068684__20240307_163237420_R7v40</t>
  </si>
  <si>
    <t>Basler_acA720-520uc__40068684__20240307_164716093_R15v10_2</t>
  </si>
  <si>
    <t>Basler_acA720-520uc__40068684__20240307_170156611_R15v40_2</t>
  </si>
  <si>
    <t>Basler_acA720-520uc__40068684__20240307_170305256_ctrl40</t>
  </si>
  <si>
    <t>Basler_acA720-520uc__40068684__20240307_171115287_v40</t>
  </si>
  <si>
    <t>Basler_acA720-520uc__40068684__20240307_172206791_v20</t>
  </si>
  <si>
    <t>Basler_acA720-520uc__40068684__20240307_173434224_v5</t>
  </si>
  <si>
    <t>Basler_acA720-520uc__40068684__20240307_174446654_v10</t>
  </si>
  <si>
    <t>Basler_acA720-520uc__40068684__20240307_175548699_v30</t>
  </si>
  <si>
    <t>Basler_acA720-520uc__40068684__20240307_180722023_v40_2</t>
  </si>
  <si>
    <t>Basler_acA720-520uc__40068684__20240307_181905986_v100</t>
  </si>
  <si>
    <t>Basler_acA720-520uc__40068684__20240307_181923727_ctrl20</t>
  </si>
  <si>
    <t>Basler_acA720-520uc__40068684__20240308_152306458_v5</t>
  </si>
  <si>
    <t>Basler_acA720-520uc__40068684__20240308_153313765_v20</t>
  </si>
  <si>
    <t>Basler_acA720-520uc__40068684__20240308_154332284_v40</t>
  </si>
  <si>
    <t>Basler_acA720-520uc__40068684__20240308_155900948_v10</t>
  </si>
  <si>
    <t>Basler_acA720-520uc__40068684__20240308_160952015_v30</t>
  </si>
  <si>
    <t>Basler_acA720-520uc__40068684__20240308_161954401_v5_2</t>
  </si>
  <si>
    <t>Basler_acA720-520uc__40068684__20240308_162015074_ctrl20</t>
  </si>
  <si>
    <t>Basler_acA720-520uc__40068684__20240308_163017611_R25v10</t>
  </si>
  <si>
    <t>Basler_acA720-520uc__40068684__20240308_165242931_R25v40</t>
  </si>
  <si>
    <t>Basler_acA720-520uc__40068684__20240308_170737442_R7v10</t>
  </si>
  <si>
    <t>Basler_acA720-520uc__40068684__20240308_171723415_R7v40</t>
  </si>
  <si>
    <t>Basler_acA720-520uc__40068684__20240308_173654779_R15v10</t>
  </si>
  <si>
    <t>Basler_acA720-520uc__40068684__20240308_174619712_R15v40</t>
  </si>
  <si>
    <t>Basler_acA720-520uc__40068684__20240308_175756110_R25v10</t>
  </si>
  <si>
    <t>Basler_acA720-520uc__40068684__20240308_181219122_R25v40</t>
  </si>
  <si>
    <t>Basler_acA720-520uc__40068684__20240308_181706095_ctrl40</t>
  </si>
  <si>
    <t>Basler_acA720-520uc__40068684__20240311_114757265_v40</t>
  </si>
  <si>
    <t>Basler_acA720-520uc__40068684__20240311_115709737_v5</t>
  </si>
  <si>
    <t>Basler_acA720-520uc__40068684__20240311_120923433_v20</t>
  </si>
  <si>
    <t>Basler_acA720-520uc__40068684__20240311_122154427_v10</t>
  </si>
  <si>
    <t>Basler_acA720-520uc__40068684__20240311_123252466_v30</t>
  </si>
  <si>
    <t>Basler_acA720-520uc__40068684__20240311_124238499_v40_2</t>
  </si>
  <si>
    <t>Basler_acA720-520uc__40068684__20240311_124427762_ctrl20</t>
  </si>
  <si>
    <t>Basler_acA720-520uc__40068684__20240311_140731243_v40</t>
  </si>
  <si>
    <t>Basler_acA720-520uc__40068684__20240311_141813434_v10</t>
  </si>
  <si>
    <t>Basler_acA720-520uc__40068684__20240311_142930771_v20</t>
  </si>
  <si>
    <t>Basler_acA720-520uc__40068684__20240311_144010708_v5</t>
  </si>
  <si>
    <t>Basler_acA720-520uc__40068684__20240311_144942694_v30</t>
  </si>
  <si>
    <t>Basler_acA720-520uc__40068684__20240311_150049148_v40_2</t>
  </si>
  <si>
    <t>Basler_acA720-520uc__40068684__20240311_152454789_v20</t>
  </si>
  <si>
    <t>Basler_acA720-520uc__40068684__20240311_153524241_v10</t>
  </si>
  <si>
    <t>Basler_acA720-520uc__40068684__20240311_154848729_v40</t>
  </si>
  <si>
    <t>Basler_acA720-520uc__40068684__20240311_160023511_v5</t>
  </si>
  <si>
    <t>Basler_acA720-520uc__40068684__20240311_161320525_v30</t>
  </si>
  <si>
    <t>Basler_acA720-520uc__40068684__20240311_162336375_v20_2</t>
  </si>
  <si>
    <t>Basler_acA720-520uc__40068684__20240311_162956993_ctrl20</t>
  </si>
  <si>
    <t>Basler_acA720-520uc__40068684__20240311_164724320_R7v10</t>
  </si>
  <si>
    <t>Basler_acA720-520uc__40068684__20240311_165905876_R7v40</t>
  </si>
  <si>
    <t>Basler_acA720-520uc__40068684__20240311_171511559_R25v10</t>
  </si>
  <si>
    <t>Basler_acA720-520uc__40068684__20240311_172755658_R25v40</t>
  </si>
  <si>
    <t>Basler_acA720-520uc__40068684__20240311_174128104_R15v10</t>
  </si>
  <si>
    <t>Basler_acA720-520uc__40068684__20240311_175446710_R15v40</t>
  </si>
  <si>
    <t>Basler_acA720-520uc__40068684__20240311_181016641_R7v10_2</t>
  </si>
  <si>
    <t>Basler_acA720-520uc__40068684__20240311_182032567_R7v40_2</t>
  </si>
  <si>
    <t>Basler_acA720-520uc__40068684__20240311_182223361_ctrl40</t>
  </si>
  <si>
    <t>Basler_acA720-520uc__40068684__20240312_115556659_v10</t>
  </si>
  <si>
    <t>Basler_acA720-520uc__40068684__20240312_120544687_v40</t>
  </si>
  <si>
    <t>Basler_acA720-520uc__40068684__20240312_121638108_v20</t>
  </si>
  <si>
    <t>Basler_acA720-520uc__40068684__20240312_122904029_v5</t>
  </si>
  <si>
    <t>Basler_acA720-520uc__40068684__20240312_124004690_v30</t>
  </si>
  <si>
    <t>Basler_acA720-520uc__40068684__20240312_125106468_v10_2</t>
  </si>
  <si>
    <t>Basler_acA720-520uc__40068684__20240312_125255022_ctrl20</t>
  </si>
  <si>
    <t>Basler_acA720-520uc__40068684__20240313_104732988_R25v10</t>
  </si>
  <si>
    <t>Basler_acA720-520uc__40068684__20240313_105907798_R25v40</t>
  </si>
  <si>
    <t>Basler_acA720-520uc__40068684__20240313_111828162_R15v10</t>
  </si>
  <si>
    <t>Basler_acA720-520uc__40068684__20240313_112840291_R15v40</t>
  </si>
  <si>
    <t>Basler_acA720-520uc__40068684__20240313_114418650_R7v10</t>
  </si>
  <si>
    <t>Basler_acA720-520uc__40068684__20240313_115342551_R7v40</t>
  </si>
  <si>
    <t>Basler_acA720-520uc__40068684__20240313_121154881_R25v10</t>
  </si>
  <si>
    <t>Basler_acA720-520uc__40068684__20240313_122752402_R25v40</t>
  </si>
  <si>
    <t>Basler_acA720-520uc__40068684__20240313_122822418_ctrl</t>
  </si>
  <si>
    <t>Basler_acA720-520uc__40068684__20240508_145244952_v10</t>
  </si>
  <si>
    <t>ID1</t>
  </si>
  <si>
    <t>Basler_acA720-520uc__40068684__20240508_150212767_v5</t>
  </si>
  <si>
    <t>Basler_acA720-520uc__40068684__20240508_151253711_v40</t>
  </si>
  <si>
    <t>Basler_acA720-520uc__40068684__20240508_152226345_v20</t>
  </si>
  <si>
    <t>Basler_acA720-520uc__40068684__20240508_153217167_v30</t>
  </si>
  <si>
    <t>Basler_acA720-520uc__40068684__20240508_154249745_v102</t>
  </si>
  <si>
    <t>Basler_acA720-520uc__40068684__20240508_154543099_ctrl20</t>
  </si>
  <si>
    <t>Basler_acA720-520uc__40068684__20240508_155510976_v20</t>
  </si>
  <si>
    <t>ID2</t>
  </si>
  <si>
    <t>Basler_acA720-520uc__40068684__20240508_160543673_v10</t>
  </si>
  <si>
    <t>Basler_acA720-520uc__40068684__20240508_161519420_v5</t>
  </si>
  <si>
    <t>Basler_acA720-520uc__40068684__20240508_162516509_v40</t>
  </si>
  <si>
    <t>Basler_acA720-520uc__40068684__20240508_163603437_v30</t>
  </si>
  <si>
    <t>Basler_acA720-520uc__40068684__20240508_164703872_v202</t>
  </si>
  <si>
    <t>Basler_acA720-520uc__40068684__20240508_164734503_ctrl20</t>
  </si>
  <si>
    <t>Basler_acA720-520uc__40068684__20240508_171829486_v10</t>
  </si>
  <si>
    <t>ID3</t>
  </si>
  <si>
    <t>Basler_acA720-520uc__40068684__20240509_142800665_v10</t>
  </si>
  <si>
    <t>Basler_acA720-520uc__40068684__20240509_143807439_v20</t>
  </si>
  <si>
    <t>Basler_acA720-520uc__40068684__20240509_144915290_v5</t>
  </si>
  <si>
    <t>Basler_acA720-520uc__40068684__20240509_145910028_v40</t>
  </si>
  <si>
    <t>Basler_acA720-520uc__40068684__20240509_150904722_v30</t>
  </si>
  <si>
    <t>Basler_acA720-520uc__40068684__20240509_151937880_v10_2</t>
  </si>
  <si>
    <t>Basler_acA720-520uc__40068684__20240509_152050727_ctrl20</t>
  </si>
  <si>
    <t>ctrl</t>
  </si>
  <si>
    <t>Basler_acA720-520uc__40068684__20240509_154416454_v40</t>
  </si>
  <si>
    <t>Basler_acA720-520uc__40068684__20240509_155414297_v20</t>
  </si>
  <si>
    <t>Basler_acA720-520uc__40068684__20240509_160435671_v10</t>
  </si>
  <si>
    <t>Basler_acA720-520uc__40068684__20240509_161423682_v5</t>
  </si>
  <si>
    <t>Basler_acA720-520uc__40068684__20240509_162415890_v30</t>
  </si>
  <si>
    <t>Basler_acA720-520uc__40068684__20240509_163536229_v40_2</t>
  </si>
  <si>
    <t>Basler_acA720-520uc__40068684__20240509_163644822_ctrl20</t>
  </si>
  <si>
    <t>Basler_acA720-520uc__40068684__20240509_170118712_v10</t>
  </si>
  <si>
    <t>Basler_acA720-520uc__40068684__20240509_171122313_v5</t>
  </si>
  <si>
    <t>Basler_acA720-520uc__40068684__20240509_172156031_v40</t>
  </si>
  <si>
    <t>Basler_acA720-520uc__40068684__20240509_173148270_v20</t>
  </si>
  <si>
    <t>Basler_acA720-520uc__40068684__20240509_174128792_v30</t>
  </si>
  <si>
    <t>Basler_acA720-520uc__40068684__20240509_175132407_v10_2</t>
  </si>
  <si>
    <t>Basler_acA720-520uc__40068684__20240509_175342615_ctrl20</t>
  </si>
  <si>
    <t>Recap</t>
  </si>
  <si>
    <t>R7</t>
  </si>
  <si>
    <t>R15</t>
  </si>
  <si>
    <t>R25</t>
  </si>
  <si>
    <t>R30</t>
  </si>
  <si>
    <t>10_05 &amp; [02_20]_pasderepet</t>
  </si>
  <si>
    <t>02_20</t>
  </si>
  <si>
    <t>02_27</t>
  </si>
  <si>
    <t>02_22</t>
  </si>
  <si>
    <t>02_24</t>
  </si>
  <si>
    <t>02_23</t>
  </si>
  <si>
    <t>03_01</t>
  </si>
  <si>
    <t>02_26</t>
  </si>
  <si>
    <t>03_07</t>
  </si>
  <si>
    <t>06_03</t>
  </si>
  <si>
    <t>03_04</t>
  </si>
  <si>
    <t>moteur qui tourne (servo sur demi disque ?) puis piston</t>
  </si>
  <si>
    <t>02_28</t>
  </si>
  <si>
    <t xml:space="preserve">ou 3D </t>
  </si>
  <si>
    <t>05_09 &amp; [02_25]_surligneorange</t>
  </si>
  <si>
    <t>05_08</t>
  </si>
  <si>
    <t>02_21</t>
  </si>
  <si>
    <t>cerque droit si latéral</t>
  </si>
  <si>
    <t>05_09 &amp; [04_03]</t>
  </si>
  <si>
    <t>02_17</t>
  </si>
  <si>
    <t>02_29</t>
  </si>
  <si>
    <t>02_03</t>
  </si>
  <si>
    <t>03_05</t>
  </si>
  <si>
    <t>03_12</t>
  </si>
  <si>
    <t>02_16</t>
  </si>
  <si>
    <t>02_25</t>
  </si>
  <si>
    <t>(02_22)_pas de tem</t>
  </si>
  <si>
    <t>03_03</t>
  </si>
  <si>
    <t>11_03</t>
  </si>
  <si>
    <t>04_03</t>
  </si>
  <si>
    <t>05_10 &amp; [02_22]_pasderepet</t>
  </si>
  <si>
    <t>[02_28]_mod</t>
  </si>
  <si>
    <t>07_03</t>
  </si>
  <si>
    <t>05_09 &amp;  [02_21]</t>
  </si>
  <si>
    <t>(02_15)</t>
  </si>
  <si>
    <t>(02_14)</t>
  </si>
  <si>
    <t>O</t>
  </si>
  <si>
    <t>A</t>
  </si>
  <si>
    <t>L</t>
  </si>
  <si>
    <t>03_08</t>
  </si>
  <si>
    <t>03_11</t>
  </si>
  <si>
    <t>pourquoi utiliser des billes 2 fois plus grosses ques les araignées</t>
  </si>
  <si>
    <t>justifier la distance</t>
  </si>
  <si>
    <t>regarder distance réelle bout cerques</t>
  </si>
  <si>
    <t>delai onset pour electrophy et pulse</t>
  </si>
  <si>
    <t>est-ce que l'isnecte peut voir son reflet</t>
  </si>
  <si>
    <t>Basler_acA720-520uc__40068684__20240531_174627737_v20</t>
  </si>
  <si>
    <t>Basler_acA720-520uc__40068684__20240531_175637355_v5</t>
  </si>
  <si>
    <t>Basler_acA720-520uc__40068684__20240531_180534601_v40</t>
  </si>
  <si>
    <t>Basler_acA720-520uc__40068684__20240531_181602126_v10</t>
  </si>
  <si>
    <t>Basler_acA720-520uc__40068684__20240531_183603896_v20_2</t>
  </si>
  <si>
    <t>Basler_acA720-520uc__40068684__20240531_182602742_v30</t>
  </si>
  <si>
    <t>Basler_acA720-520uc__40068684__20240531_183851847_ctrl20</t>
  </si>
  <si>
    <t>N</t>
  </si>
  <si>
    <t>Basler_acA720-520uc__40068684__20240601_113124499_R25v40</t>
  </si>
  <si>
    <t>Basler_acA720-520uc__40068684__20240601_114219192_R25v10</t>
  </si>
  <si>
    <t>Basler_acA720-520uc__40068684__20240601_115245134_R15v40</t>
  </si>
  <si>
    <t>Basler_acA720-520uc__40068684__20240601_120236546_R15v10</t>
  </si>
  <si>
    <t>Basler_acA720-520uc__40068684__20240601_121248239_R07v40</t>
  </si>
  <si>
    <t>Basler_acA720-520uc__40068684__20240601_123242532_R25v40_2</t>
  </si>
  <si>
    <t>Basler_acA720-520uc__40068684__20240601_122354413_R07v10</t>
  </si>
  <si>
    <t>Basler_acA720-520uc__40068684__20240601_124530715_R25v10_2</t>
  </si>
  <si>
    <t>06_01</t>
  </si>
  <si>
    <t>Basler_acA720-520uc__40068684__20240601_125427124_R15v40_2</t>
  </si>
  <si>
    <t>Basler_acA720-520uc__40068684__20240601_130452854_R15v10_2rep</t>
  </si>
  <si>
    <t>Basler_acA720-520uc__40068684__20240601_142207615_R15v40</t>
  </si>
  <si>
    <t>Basler_acA720-520uc__40068684__20240601_143239921_R15v10</t>
  </si>
  <si>
    <t>Basler_acA720-520uc__40068684__20240601_144211350_R07v40</t>
  </si>
  <si>
    <t>pression de predation moins forte</t>
  </si>
  <si>
    <t>Basler_acA720-520uc__40068684__20240601_150210088_R07v10</t>
  </si>
  <si>
    <t>Basler_acA720-520uc__40068684__20240601_151256669_R25v40</t>
  </si>
  <si>
    <t>Basler_acA720-520uc__40068684__20240601_152300337_R25v10</t>
  </si>
  <si>
    <t>Basler_acA720-520uc__40068684__20240601_154430966_R15v10_2</t>
  </si>
  <si>
    <t>Basler_acA720-520uc__40068684__20240601_153421323_R15v40_2</t>
  </si>
  <si>
    <t>Basler_acA720-520uc__40068684__20240601_160408113_R07v40</t>
  </si>
  <si>
    <t>dist_totale</t>
  </si>
  <si>
    <t>dist_cerques</t>
  </si>
  <si>
    <t>Basler_acA720-520uc__40068684__20240601_161435786_R07v10</t>
  </si>
  <si>
    <t>Basler_acA720-520uc__40068684__20240601_162401772_R25v40</t>
  </si>
  <si>
    <t>Basler_acA720-520uc__40068684__20240601_163426179_R25v10</t>
  </si>
  <si>
    <t>Basler_acA720-520uc__40068684__20240601_164405773_R15v40</t>
  </si>
  <si>
    <t>Basler_acA720-520uc__40068684__20240601_165436725_R15v10</t>
  </si>
  <si>
    <t>Basler_acA720-520uc__40068684__20240601_171500065_R07v10_2</t>
  </si>
  <si>
    <t>Basler_acA720-520uc__40068684__20240601_170439251_R07v40_2</t>
  </si>
  <si>
    <t>ID4</t>
  </si>
  <si>
    <t>Basler_acA720-520uc__40068684__20240601_174113854_v20</t>
  </si>
  <si>
    <t>Basler_acA720-520uc__40068684__20240601_181145701_v10</t>
  </si>
  <si>
    <t>Basler_acA720-520uc__40068684__20240601_175102730_v5</t>
  </si>
  <si>
    <t>Basler_acA720-520uc__40068684__20240601_182117357_v40</t>
  </si>
  <si>
    <t>Basler_acA720-520uc__40068684__20240601_183130277_v30</t>
  </si>
  <si>
    <t>Basler_acA720-520uc__40068684__20240601_184245916_v20_2</t>
  </si>
  <si>
    <t>Basler_acA720-520uc__40068684__20240601_184733809_ctrl</t>
  </si>
  <si>
    <t>06_01_etr &amp; [02_24]_KO</t>
  </si>
  <si>
    <t>(10</t>
  </si>
  <si>
    <t>40)</t>
  </si>
  <si>
    <t>(40</t>
  </si>
  <si>
    <t>10)</t>
  </si>
  <si>
    <t>Basler_acA720-520uc__40068684__20240602_144546484_v30</t>
  </si>
  <si>
    <t>Basler_acA720-520uc__40068684__20240602_150642264_v40</t>
  </si>
  <si>
    <t>Basler_acA720-520uc__40068684__20240602_145551298_v10</t>
  </si>
  <si>
    <t>Basler_acA720-520uc__40068684__20240602_151545390_v5</t>
  </si>
  <si>
    <t>comaprer evasion par saut ou amrche dans setup treadmill</t>
  </si>
  <si>
    <t>06_02</t>
  </si>
  <si>
    <t>Basler_acA720-520uc__40068684__20240602_153529196_v30</t>
  </si>
  <si>
    <t>Basler_acA720-520uc__40068684__20240602_152618009_v20</t>
  </si>
  <si>
    <t>Basler_acA720-520uc__40068684__20240602_153725142_ctrl20</t>
  </si>
  <si>
    <t>Basler_acA720-520uc__40068684__20240602_160531613_v20</t>
  </si>
  <si>
    <t>Basler_acA720-520uc__40068684__20240602_161451127_v5</t>
  </si>
  <si>
    <t>Basler_acA720-520uc__40068684__20240602_162512947_v30</t>
  </si>
  <si>
    <t>Basler_acA720-520uc__40068684__20240602_163519437_v40</t>
  </si>
  <si>
    <t>Basler_acA720-520uc__40068684__20240602_164457465_v10</t>
  </si>
  <si>
    <t>03_06</t>
  </si>
  <si>
    <t>Basler_acA720-520uc__40068684__20240602_165515891_v20_2</t>
  </si>
  <si>
    <t>Basler_acA720-520uc__40068684__20240602_165550014_ctrl20</t>
  </si>
  <si>
    <t>contrôle experience treadmill</t>
  </si>
  <si>
    <t>Basler_acA720-520uc__40068684__20240603_170132887_v30</t>
  </si>
  <si>
    <t>Basler_acA720-520uc__40068684__20240603_171132440_v10</t>
  </si>
  <si>
    <t>Basler_acA720-520uc__40068684__20240603_172144891_v40</t>
  </si>
  <si>
    <t>Basler_acA720-520uc__40068684__20240603_173244495_v5</t>
  </si>
  <si>
    <t>Basler_acA720-520uc__40068684__20240603_174212741_v20</t>
  </si>
  <si>
    <t>Basler_acA720-520uc__40068684__20240603_175225355_v302</t>
  </si>
  <si>
    <t>Basler_acA720-520uc__40068684__20240603_175402912_ctrl</t>
  </si>
  <si>
    <t>Basler_acA720-520uc__40068684__20240603_182731806_v5</t>
  </si>
  <si>
    <t>Basler_acA720-520uc__40068684__20240603_183758990_v30</t>
  </si>
  <si>
    <t>Basler_acA720-520uc__40068684__20240603_184734180_v40</t>
  </si>
  <si>
    <t>Basler_acA720-520uc__40068684__20240603_185745813_v10</t>
  </si>
  <si>
    <t>Basler_acA720-520uc__40068684__20240603_190932582_v20_2</t>
  </si>
  <si>
    <t>Basler_acA720-520uc__40068684__20240603_181522706_v20</t>
  </si>
  <si>
    <t>Basler_acA720-520uc__40068684__20240604_101256215_v10</t>
  </si>
  <si>
    <t>Basler_acA720-520uc__40068684__20240604_102245667_v40</t>
  </si>
  <si>
    <t>Basler_acA720-520uc__40068684__20240604_104303980_v30</t>
  </si>
  <si>
    <t>Basler_acA720-520uc__40068684__20240604_103316023_v5</t>
  </si>
  <si>
    <t>Basler_acA720-520uc__40068684__20240604_110248996_v102</t>
  </si>
  <si>
    <t>Basler_acA720-520uc__40068684__20240604_105302561_v20</t>
  </si>
  <si>
    <t>Basler_acA720-520uc__40068684__20240604_112142387_v20</t>
  </si>
  <si>
    <t>Basler_acA720-520uc__40068684__20240604_114130278_v40</t>
  </si>
  <si>
    <t>Basler_acA720-520uc__40068684__20240604_113128540_v5</t>
  </si>
  <si>
    <t>Basler_acA720-520uc__40068684__20240604_115137982_v10</t>
  </si>
  <si>
    <t>Basler_acA720-520uc__40068684__20240604_120149083_v30</t>
  </si>
  <si>
    <t>Basler_acA720-520uc__40068684__20240604_121156680_v20_2</t>
  </si>
  <si>
    <t>Basler_acA720-520uc__40068684__20240604_134706901_v30</t>
  </si>
  <si>
    <t>Basler_acA720-520uc__40068684__20240604_140709827_v40</t>
  </si>
  <si>
    <t>Basler_acA720-520uc__40068684__20240604_135714757_v10</t>
  </si>
  <si>
    <t>Basler_acA720-520uc__40068684__20240604_141733079_v5</t>
  </si>
  <si>
    <t>Basler_acA720-520uc__40068684__20240604_142745447_v20</t>
  </si>
  <si>
    <t>Basler_acA720-520uc__40068684__20240604_143804594_v30_2</t>
  </si>
  <si>
    <t>Basler_acA720-520uc__40068684__20240604_144717849_v20</t>
  </si>
  <si>
    <t>Basler_acA720-520uc__40068684__20240604_145724792_v5</t>
  </si>
  <si>
    <t>Basler_acA720-520uc__40068684__20240604_150735161_v30</t>
  </si>
  <si>
    <t>Basler_acA720-520uc__40068684__20240604_151731171_v40</t>
  </si>
  <si>
    <t>Basler_acA720-520uc__40068684__20240604_152721614_v10</t>
  </si>
  <si>
    <t>Basler_acA720-520uc__40068684__20240604_153729567_v20_2</t>
  </si>
  <si>
    <t>ID5</t>
  </si>
  <si>
    <t>Basler_acA720-520uc__40068684__20240604_155350634_v40</t>
  </si>
  <si>
    <t>Basler_acA720-520uc__40068684__20240604_160425058_v10</t>
  </si>
  <si>
    <t>Basler_acA720-520uc__40068684__20240604_164619530_v40_2</t>
  </si>
  <si>
    <t>Basler_acA720-520uc__40068684__20240604_161313567_v20</t>
  </si>
  <si>
    <t>Basler_acA720-520uc__40068684__20240604_163435604_v30</t>
  </si>
  <si>
    <t>Basler_acA720-520uc__40068684__20240604_162306552_v5</t>
  </si>
  <si>
    <t>ID6</t>
  </si>
  <si>
    <t>Basler_acA720-520uc__40068684__20240604_170600476_v5</t>
  </si>
  <si>
    <t>Basler_acA720-520uc__40068684__20240604_175758050_v5_2</t>
  </si>
  <si>
    <t>ID7</t>
  </si>
  <si>
    <t>Basler_acA720-520uc__40068684__20240604_171633412_v10</t>
  </si>
  <si>
    <t>Basler_acA720-520uc__40068684__20240604_172704607_v20</t>
  </si>
  <si>
    <t>Basler_acA720-520uc__40068684__20240604_173732735_v40</t>
  </si>
  <si>
    <t>Basler_acA720-520uc__40068684__20240604_174711491_v30</t>
  </si>
  <si>
    <t>Basler_acA720-520uc__40068684__20240604_190817893_v5_2</t>
  </si>
  <si>
    <t>Basler_acA720-520uc__40068684__20240604_185804751_v30</t>
  </si>
  <si>
    <t>Basler_acA720-520uc__40068684__20240604_184719721_v40</t>
  </si>
  <si>
    <t>Basler_acA720-520uc__40068684__20240604_183712319_v10</t>
  </si>
  <si>
    <t>Basler_acA720-520uc__40068684__20240604_182530934_v20</t>
  </si>
  <si>
    <t>Basler_acA720-520uc__40068684__20240604_181429664_v5</t>
  </si>
  <si>
    <t>Basler_acA720-520uc__40068684__20240605_103741608_v30</t>
  </si>
  <si>
    <t>Basler_acA720-520uc__40068684__20240605_104730410_v10</t>
  </si>
  <si>
    <t>Basler_acA720-520uc__40068684__20240605_105719708_v40</t>
  </si>
  <si>
    <t>Basler_acA720-520uc__40068684__20240605_110756426_v5</t>
  </si>
  <si>
    <t>Basler_acA720-520uc__40068684__20240605_111733089_v20</t>
  </si>
  <si>
    <t>Basler_acA720-520uc__40068684__20240605_113113092_v10</t>
  </si>
  <si>
    <t>Basler_acA720-520uc__40068684__20240605_112732577_v30_2</t>
  </si>
  <si>
    <t>Basler_acA720-520uc__40068684__20240605_114627893_v20</t>
  </si>
  <si>
    <t>Basler_acA720-520uc__40068684__20240605_115618416_v40</t>
  </si>
  <si>
    <t>Basler_acA720-520uc__40068684__20240605_121724218_v30</t>
  </si>
  <si>
    <t>Basler_acA720-520uc__40068684__20240605_120734084_v5</t>
  </si>
  <si>
    <t>Basler_acA720-520uc__40068684__20240605_134953457_v30</t>
  </si>
  <si>
    <t>Basler_acA720-520uc__40068684__20240605_122813719_v10_2</t>
  </si>
  <si>
    <t>Basler_acA720-520uc__40068684__20240605_135904014_v10</t>
  </si>
  <si>
    <t>Basler_acA720-520uc__40068684__20240605_140901486_v40</t>
  </si>
  <si>
    <t>Basler_acA720-520uc__40068684__20240605_141926681_v5</t>
  </si>
  <si>
    <t>Basler_acA720-520uc__40068684__20240605_142925899_v20</t>
  </si>
  <si>
    <t>Basler_acA720-520uc__40068684__20240605_143953053_v30_2</t>
  </si>
  <si>
    <t>Basler_acA720-520uc__40068684__20240605_144413217_v40_halfW</t>
  </si>
  <si>
    <t>Basler_acA720-520uc__40068684__20240605_144927585_v40_zeroW</t>
  </si>
  <si>
    <t>Basler_acA720-520uc__40068684__20240605_145420511_v40_maxiW</t>
  </si>
  <si>
    <t>Basler_acA720-520uc__40068684__20240605_145935166_v40_lowwW</t>
  </si>
  <si>
    <t>Basler_acA720-520uc__40068684__20240605_150420220_v10_halfW</t>
  </si>
  <si>
    <t>Basler_acA720-520uc__40068684__20240605_151000034_v10_zeroW</t>
  </si>
  <si>
    <t>Basler_acA720-520uc__40068684__20240605_151504028_v10_maxiW</t>
  </si>
  <si>
    <t>Basler_acA720-520uc__40068684__20240605_153840285_v20</t>
  </si>
  <si>
    <t>Basler_acA720-520uc__40068684__20240605_152523811_v40_tem</t>
  </si>
  <si>
    <t>Basler_acA720-520uc__40068684__20240605_152106172_v10_lowwW</t>
  </si>
  <si>
    <t>Basler_acA720-520uc__40068684__20240605_160845693_v40</t>
  </si>
  <si>
    <t>Basler_acA720-520uc__40068684__20240605_161823036_v30</t>
  </si>
  <si>
    <t>Basler_acA720-520uc__40068684__20240605_164142146_v40</t>
  </si>
  <si>
    <t>Basler_acA720-520uc__40068684__20240605_155802878_v5</t>
  </si>
  <si>
    <t>Basler_acA720-520uc__40068684__20240605_162859460_v20_2</t>
  </si>
  <si>
    <t>Basler_acA720-520uc__40068684__20240605_154827332_v10</t>
  </si>
  <si>
    <t>Basler_acA720-520uc__40068684__20240605_165118670_v5</t>
  </si>
  <si>
    <t>Basler_acA720-520uc__40068684__20240605_173211374_v40_2</t>
  </si>
  <si>
    <t>Basler_acA720-520uc__40068684__20240605_172140298_v30</t>
  </si>
  <si>
    <t>Basler_acA720-520uc__40068684__20240605_171102866_v20</t>
  </si>
  <si>
    <t>Basler_acA720-520uc__40068684__20240605_175745273_v20</t>
  </si>
  <si>
    <t>Basler_acA720-520uc__40068684__20240605_180651189_v5</t>
  </si>
  <si>
    <t>Basler_acA720-520uc__40068684__20240605_181601867_v30</t>
  </si>
  <si>
    <t>Basler_acA720-520uc__40068684__20240605_170102652_v10</t>
  </si>
  <si>
    <t>Basler_acA720-520uc__40068684__20240605_182803582_v40</t>
  </si>
  <si>
    <t>ID8</t>
  </si>
  <si>
    <t>Basler_acA720-520uc__40068684__20240605_184652912_v20_2</t>
  </si>
  <si>
    <t>Basler_acA720-520uc__40068684__20240605_183602316_v10</t>
  </si>
  <si>
    <t>Basler_acA720-520uc__40068684__20240605_185834765_v5</t>
  </si>
  <si>
    <t>Basler_acA720-520uc__40068684__20240605_184951237_v20</t>
  </si>
  <si>
    <t>Basler_acA720-520uc__40068684__20240605_191910580_v40</t>
  </si>
  <si>
    <t>05_31 &amp; (02_25)</t>
  </si>
  <si>
    <t>05_08 [02_25 on peut garder]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</si>
</sst>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0"/>
      <name val="Arial"/>
    </font>
    <font>
      <sz val="11"/>
      <name val="Arial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readingOrder="1"/>
    </xf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readingOrder="1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quotePrefix="1" applyFill="1"/>
    <xf numFmtId="0" fontId="0" fillId="3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2" fillId="4" borderId="0" xfId="0" applyFont="1" applyFill="1"/>
    <xf numFmtId="0" fontId="4" fillId="4" borderId="0" xfId="0" applyFont="1" applyFill="1" applyAlignment="1">
      <alignment wrapText="1"/>
    </xf>
    <xf numFmtId="14" fontId="0" fillId="0" borderId="0" xfId="0" applyNumberFormat="1"/>
    <xf numFmtId="0" fontId="2" fillId="6" borderId="0" xfId="0" applyFont="1" applyFill="1"/>
    <xf numFmtId="0" fontId="2" fillId="7" borderId="0" xfId="0" applyFont="1" applyFill="1"/>
    <xf numFmtId="0" fontId="0" fillId="2" borderId="1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0" xfId="0" applyFont="1" applyFill="1"/>
    <xf numFmtId="0" fontId="0" fillId="2" borderId="0" xfId="0" quotePrefix="1" applyFill="1"/>
    <xf numFmtId="0" fontId="0" fillId="2" borderId="4" xfId="0" applyFill="1" applyBorder="1"/>
    <xf numFmtId="0" fontId="2" fillId="8" borderId="0" xfId="0" applyFont="1" applyFill="1"/>
    <xf numFmtId="0" fontId="1" fillId="9" borderId="0" xfId="0" applyFont="1" applyFill="1" applyAlignment="1">
      <alignment readingOrder="1"/>
    </xf>
    <xf numFmtId="0" fontId="2" fillId="9" borderId="0" xfId="0" applyFont="1" applyFill="1"/>
    <xf numFmtId="0" fontId="1" fillId="7" borderId="0" xfId="0" applyFont="1" applyFill="1" applyAlignment="1">
      <alignment readingOrder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10" borderId="0" xfId="0" applyFill="1"/>
    <xf numFmtId="0" fontId="6" fillId="0" borderId="5" xfId="0" applyFont="1" applyBorder="1" applyAlignment="1">
      <alignment horizontal="center"/>
    </xf>
    <xf numFmtId="0" fontId="0" fillId="11" borderId="1" xfId="0" applyFill="1" applyBorder="1"/>
    <xf numFmtId="0" fontId="0" fillId="11" borderId="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F1" sqref="F1:F1048576"/>
    </sheetView>
  </sheetViews>
  <sheetFormatPr baseColWidth="10" defaultColWidth="9.125" defaultRowHeight="14.25"/>
  <cols>
    <col min="1" max="1" width="57.125" style="1" bestFit="1" customWidth="1"/>
    <col min="2" max="2" width="9.125" style="1"/>
    <col min="3" max="3" width="3.625" style="1" bestFit="1" customWidth="1"/>
    <col min="4" max="4" width="9.125" style="1"/>
    <col min="5" max="5" width="4.75" style="1" bestFit="1" customWidth="1"/>
    <col min="6" max="6" width="42.25" style="1" bestFit="1" customWidth="1"/>
    <col min="7" max="16384" width="9.1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8" t="s">
        <v>9</v>
      </c>
      <c r="B2" s="8" t="s">
        <v>10</v>
      </c>
      <c r="C2" s="8">
        <v>40</v>
      </c>
      <c r="D2" s="7"/>
      <c r="E2" s="8">
        <v>150</v>
      </c>
      <c r="F2" s="8"/>
      <c r="G2" s="7"/>
      <c r="H2" s="7"/>
      <c r="I2" s="7">
        <v>0</v>
      </c>
      <c r="J2" s="1">
        <f>MAX(I:I)</f>
        <v>1</v>
      </c>
    </row>
    <row r="3" spans="1:10">
      <c r="A3" s="8" t="s">
        <v>11</v>
      </c>
      <c r="B3" s="8" t="s">
        <v>10</v>
      </c>
      <c r="C3" s="8">
        <v>5</v>
      </c>
      <c r="D3" s="7">
        <v>0</v>
      </c>
      <c r="E3" s="8">
        <v>150</v>
      </c>
      <c r="F3" s="8"/>
      <c r="G3" s="7"/>
      <c r="H3" s="7"/>
      <c r="I3" s="7">
        <v>0</v>
      </c>
      <c r="J3" s="7" t="s">
        <v>12</v>
      </c>
    </row>
    <row r="4" spans="1:10">
      <c r="A4" s="8" t="s">
        <v>13</v>
      </c>
      <c r="B4" s="8" t="s">
        <v>10</v>
      </c>
      <c r="C4" s="8">
        <v>20</v>
      </c>
      <c r="D4" s="7">
        <v>1</v>
      </c>
      <c r="E4" s="8">
        <v>150</v>
      </c>
      <c r="F4" s="8"/>
      <c r="G4" s="7"/>
      <c r="H4" s="7"/>
      <c r="I4" s="7">
        <v>0</v>
      </c>
      <c r="J4" s="7" t="s">
        <v>14</v>
      </c>
    </row>
    <row r="5" spans="1:10">
      <c r="A5" s="8" t="s">
        <v>15</v>
      </c>
      <c r="B5" s="8" t="s">
        <v>10</v>
      </c>
      <c r="C5" s="8">
        <v>10</v>
      </c>
      <c r="D5" s="7">
        <v>0</v>
      </c>
      <c r="E5" s="8">
        <v>150</v>
      </c>
      <c r="F5" s="8"/>
      <c r="G5" s="7"/>
      <c r="H5" s="7"/>
      <c r="I5" s="7">
        <v>0</v>
      </c>
      <c r="J5" s="7" t="s">
        <v>14</v>
      </c>
    </row>
    <row r="6" spans="1:10">
      <c r="A6" s="8" t="s">
        <v>16</v>
      </c>
      <c r="B6" s="8" t="s">
        <v>10</v>
      </c>
      <c r="C6" s="8">
        <v>40</v>
      </c>
      <c r="D6" s="7">
        <v>1</v>
      </c>
      <c r="E6" s="8">
        <v>150</v>
      </c>
      <c r="F6" s="8"/>
      <c r="G6" s="7"/>
      <c r="H6" s="7"/>
      <c r="I6" s="7">
        <v>0</v>
      </c>
      <c r="J6" s="7" t="s">
        <v>14</v>
      </c>
    </row>
    <row r="7" spans="1:10">
      <c r="A7" s="8" t="s">
        <v>17</v>
      </c>
      <c r="B7" s="8" t="s">
        <v>10</v>
      </c>
      <c r="C7" s="8">
        <v>30</v>
      </c>
      <c r="D7" s="7">
        <v>1</v>
      </c>
      <c r="E7" s="8">
        <v>150</v>
      </c>
      <c r="F7" s="8"/>
      <c r="G7" s="7"/>
      <c r="H7" s="7"/>
      <c r="I7" s="7">
        <v>0</v>
      </c>
      <c r="J7" s="7" t="s">
        <v>14</v>
      </c>
    </row>
    <row r="8" spans="1:10">
      <c r="A8" s="8" t="s">
        <v>18</v>
      </c>
      <c r="B8" s="8" t="s">
        <v>19</v>
      </c>
      <c r="C8" s="8">
        <v>20</v>
      </c>
      <c r="D8" s="7" t="s">
        <v>20</v>
      </c>
      <c r="E8" s="8">
        <v>150</v>
      </c>
      <c r="F8" s="8"/>
      <c r="G8" s="7"/>
      <c r="H8" s="7"/>
      <c r="I8" s="7" t="s">
        <v>21</v>
      </c>
      <c r="J8" s="7"/>
    </row>
    <row r="9" spans="1:10">
      <c r="A9" s="8" t="s">
        <v>22</v>
      </c>
      <c r="B9" s="8" t="s">
        <v>19</v>
      </c>
      <c r="C9" s="8">
        <v>20</v>
      </c>
      <c r="D9" s="7" t="s">
        <v>20</v>
      </c>
      <c r="E9" s="8">
        <v>150</v>
      </c>
      <c r="F9" s="8"/>
      <c r="G9" s="7"/>
      <c r="H9" s="7"/>
      <c r="I9" s="7" t="s">
        <v>21</v>
      </c>
      <c r="J9" s="7"/>
    </row>
    <row r="10" spans="1:10">
      <c r="A10" s="8" t="s">
        <v>23</v>
      </c>
      <c r="B10" s="8" t="s">
        <v>19</v>
      </c>
      <c r="C10" s="8">
        <v>20</v>
      </c>
      <c r="D10" s="7" t="s">
        <v>20</v>
      </c>
      <c r="E10" s="8">
        <v>150</v>
      </c>
      <c r="F10" s="8"/>
      <c r="G10" s="7"/>
      <c r="H10" s="7"/>
      <c r="I10" s="7" t="s">
        <v>21</v>
      </c>
      <c r="J10" s="7"/>
    </row>
    <row r="11" spans="1:10">
      <c r="A11" s="5" t="s">
        <v>24</v>
      </c>
      <c r="B11" s="5" t="s">
        <v>25</v>
      </c>
      <c r="C11" s="5">
        <v>20</v>
      </c>
      <c r="D11" s="5"/>
      <c r="E11" s="5">
        <v>300</v>
      </c>
      <c r="F11" s="5"/>
      <c r="G11" s="5"/>
      <c r="H11" s="5"/>
      <c r="I11" s="5">
        <v>1</v>
      </c>
      <c r="J11" s="5"/>
    </row>
    <row r="12" spans="1:10">
      <c r="A12" s="5" t="s">
        <v>26</v>
      </c>
      <c r="B12" s="5" t="s">
        <v>25</v>
      </c>
      <c r="C12" s="5">
        <v>30</v>
      </c>
      <c r="D12" s="5">
        <v>1</v>
      </c>
      <c r="E12" s="5">
        <v>300</v>
      </c>
      <c r="F12" s="5"/>
      <c r="G12" s="5"/>
      <c r="H12" s="5"/>
      <c r="I12" s="5">
        <v>1</v>
      </c>
      <c r="J12" s="5" t="s">
        <v>14</v>
      </c>
    </row>
    <row r="13" spans="1:10">
      <c r="A13" s="5" t="s">
        <v>27</v>
      </c>
      <c r="B13" s="5" t="s">
        <v>25</v>
      </c>
      <c r="C13" s="5">
        <v>5</v>
      </c>
      <c r="D13" s="5">
        <v>0</v>
      </c>
      <c r="E13" s="5">
        <v>300</v>
      </c>
      <c r="F13" s="5"/>
      <c r="G13" s="5"/>
      <c r="H13" s="5"/>
      <c r="I13" s="5">
        <v>1</v>
      </c>
      <c r="J13" s="5" t="s">
        <v>14</v>
      </c>
    </row>
    <row r="14" spans="1:10">
      <c r="A14" s="5" t="s">
        <v>28</v>
      </c>
      <c r="B14" s="5" t="s">
        <v>25</v>
      </c>
      <c r="C14" s="5">
        <v>40</v>
      </c>
      <c r="D14" s="5"/>
      <c r="E14" s="5">
        <v>300</v>
      </c>
      <c r="F14" s="5"/>
      <c r="G14" s="5"/>
      <c r="H14" s="5"/>
      <c r="I14" s="5">
        <v>1</v>
      </c>
      <c r="J14" s="5" t="s">
        <v>14</v>
      </c>
    </row>
    <row r="15" spans="1:10">
      <c r="A15" s="5" t="s">
        <v>29</v>
      </c>
      <c r="B15" s="5" t="s">
        <v>25</v>
      </c>
      <c r="C15" s="5">
        <v>10</v>
      </c>
      <c r="D15" s="5"/>
      <c r="E15" s="5">
        <v>300</v>
      </c>
      <c r="F15" s="5"/>
      <c r="G15" s="5"/>
      <c r="H15" s="5"/>
      <c r="I15" s="5">
        <v>1</v>
      </c>
      <c r="J15" s="5" t="s">
        <v>14</v>
      </c>
    </row>
    <row r="16" spans="1:10">
      <c r="A16" s="5" t="s">
        <v>30</v>
      </c>
      <c r="B16" s="5" t="s">
        <v>25</v>
      </c>
      <c r="C16" s="5">
        <v>20</v>
      </c>
      <c r="D16" s="5">
        <v>0</v>
      </c>
      <c r="E16" s="5">
        <v>300</v>
      </c>
      <c r="F16" s="5"/>
      <c r="G16" s="5"/>
      <c r="H16" s="5"/>
      <c r="I16" s="5">
        <v>1</v>
      </c>
      <c r="J16" s="5" t="s">
        <v>14</v>
      </c>
    </row>
    <row r="17" spans="1:10">
      <c r="A17" s="5" t="s">
        <v>31</v>
      </c>
      <c r="B17" s="5" t="s">
        <v>32</v>
      </c>
      <c r="C17" s="5">
        <v>20</v>
      </c>
      <c r="D17" s="5"/>
      <c r="E17" s="5">
        <v>300</v>
      </c>
      <c r="F17" s="5"/>
      <c r="G17" s="5"/>
      <c r="H17" s="5"/>
      <c r="I17" s="5" t="s">
        <v>21</v>
      </c>
      <c r="J17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F1" sqref="F1:F1048576"/>
    </sheetView>
  </sheetViews>
  <sheetFormatPr baseColWidth="10" defaultColWidth="9.125" defaultRowHeight="14.25"/>
  <cols>
    <col min="1" max="1" width="57.125" style="1" bestFit="1" customWidth="1"/>
    <col min="2" max="2" width="9.125" style="1"/>
    <col min="3" max="3" width="3.625" style="1" bestFit="1" customWidth="1"/>
    <col min="4" max="4" width="9.125" style="1"/>
    <col min="5" max="5" width="4.75" style="1" bestFit="1" customWidth="1"/>
    <col min="6" max="6" width="42.25" style="1" bestFit="1" customWidth="1"/>
    <col min="7" max="16384" width="9.125" style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/>
      <c r="G1" s="7" t="s">
        <v>5</v>
      </c>
      <c r="H1" s="7" t="s">
        <v>6</v>
      </c>
      <c r="I1" s="7" t="s">
        <v>7</v>
      </c>
      <c r="J1" s="1" t="s">
        <v>8</v>
      </c>
    </row>
    <row r="2" spans="1:10">
      <c r="A2" s="7" t="s">
        <v>33</v>
      </c>
      <c r="B2" s="7" t="s">
        <v>10</v>
      </c>
      <c r="C2" s="7">
        <v>20</v>
      </c>
      <c r="D2" s="7">
        <v>1</v>
      </c>
      <c r="E2" s="7">
        <v>300</v>
      </c>
      <c r="F2" s="7"/>
      <c r="G2" s="7">
        <v>1</v>
      </c>
      <c r="H2" s="7">
        <v>20</v>
      </c>
      <c r="I2" s="7">
        <v>1</v>
      </c>
      <c r="J2" s="1">
        <f>MAX(I:I)</f>
        <v>2</v>
      </c>
    </row>
    <row r="3" spans="1:10">
      <c r="A3" s="8" t="s">
        <v>34</v>
      </c>
      <c r="B3" s="8" t="s">
        <v>10</v>
      </c>
      <c r="C3" s="8">
        <v>30</v>
      </c>
      <c r="D3" s="7">
        <v>1</v>
      </c>
      <c r="E3" s="8">
        <v>300</v>
      </c>
      <c r="F3" s="8"/>
      <c r="G3" s="7">
        <v>1</v>
      </c>
      <c r="H3" s="7">
        <v>21</v>
      </c>
      <c r="I3" s="7">
        <v>1</v>
      </c>
      <c r="J3" s="7" t="s">
        <v>12</v>
      </c>
    </row>
    <row r="4" spans="1:10">
      <c r="A4" s="8" t="s">
        <v>35</v>
      </c>
      <c r="B4" s="8" t="s">
        <v>10</v>
      </c>
      <c r="C4" s="8">
        <v>10</v>
      </c>
      <c r="D4" s="7">
        <v>1</v>
      </c>
      <c r="E4" s="8">
        <v>300</v>
      </c>
      <c r="F4" s="8"/>
      <c r="G4" s="7">
        <v>1</v>
      </c>
      <c r="H4" s="7">
        <v>22</v>
      </c>
      <c r="I4" s="7">
        <v>1</v>
      </c>
      <c r="J4" s="7" t="s">
        <v>14</v>
      </c>
    </row>
    <row r="5" spans="1:10">
      <c r="A5" s="8" t="s">
        <v>36</v>
      </c>
      <c r="B5" s="8" t="s">
        <v>10</v>
      </c>
      <c r="C5" s="8">
        <v>40</v>
      </c>
      <c r="D5" s="7">
        <v>1</v>
      </c>
      <c r="E5" s="8">
        <v>300</v>
      </c>
      <c r="F5" s="8"/>
      <c r="G5" s="7">
        <v>1</v>
      </c>
      <c r="H5" s="7">
        <v>22</v>
      </c>
      <c r="I5" s="7">
        <v>1</v>
      </c>
      <c r="J5" s="7"/>
    </row>
    <row r="6" spans="1:10">
      <c r="A6" s="8" t="s">
        <v>37</v>
      </c>
      <c r="B6" s="8" t="s">
        <v>10</v>
      </c>
      <c r="C6" s="8">
        <v>5</v>
      </c>
      <c r="D6" s="7">
        <v>1</v>
      </c>
      <c r="E6" s="8">
        <v>300</v>
      </c>
      <c r="F6" s="8"/>
      <c r="G6" s="7">
        <v>1</v>
      </c>
      <c r="H6" s="7">
        <v>22</v>
      </c>
      <c r="I6" s="7">
        <v>1</v>
      </c>
      <c r="J6" s="7"/>
    </row>
    <row r="7" spans="1:10">
      <c r="A7" s="8" t="s">
        <v>38</v>
      </c>
      <c r="B7" s="8" t="s">
        <v>10</v>
      </c>
      <c r="C7" s="8">
        <v>20</v>
      </c>
      <c r="D7" s="7">
        <v>1</v>
      </c>
      <c r="E7" s="8">
        <v>300</v>
      </c>
      <c r="F7" s="8"/>
      <c r="G7" s="7">
        <v>1</v>
      </c>
      <c r="H7" s="7">
        <v>22</v>
      </c>
      <c r="I7" s="7">
        <v>1</v>
      </c>
      <c r="J7" s="7"/>
    </row>
    <row r="8" spans="1:10">
      <c r="A8" s="8" t="s">
        <v>39</v>
      </c>
      <c r="B8" s="8" t="s">
        <v>40</v>
      </c>
      <c r="C8" s="8">
        <v>20</v>
      </c>
      <c r="D8" s="7" t="s">
        <v>21</v>
      </c>
      <c r="E8" s="8"/>
      <c r="F8" s="8"/>
      <c r="G8" s="7">
        <v>0</v>
      </c>
      <c r="H8" s="7" t="s">
        <v>20</v>
      </c>
      <c r="I8" s="7" t="s">
        <v>21</v>
      </c>
      <c r="J8" s="7"/>
    </row>
    <row r="9" spans="1:10">
      <c r="A9" s="8" t="s">
        <v>41</v>
      </c>
      <c r="B9" s="8" t="s">
        <v>40</v>
      </c>
      <c r="C9" s="8">
        <v>20</v>
      </c>
      <c r="D9" s="7" t="s">
        <v>21</v>
      </c>
      <c r="E9" s="8"/>
      <c r="F9" s="8"/>
      <c r="G9" s="7">
        <v>0</v>
      </c>
      <c r="H9" s="7" t="s">
        <v>20</v>
      </c>
      <c r="I9" s="7" t="s">
        <v>21</v>
      </c>
      <c r="J9" s="7"/>
    </row>
    <row r="10" spans="1:10">
      <c r="A10" s="4" t="s">
        <v>42</v>
      </c>
      <c r="B10" s="4" t="s">
        <v>25</v>
      </c>
      <c r="C10" s="4">
        <v>20</v>
      </c>
      <c r="D10" s="5">
        <v>1</v>
      </c>
      <c r="E10" s="4">
        <v>300</v>
      </c>
      <c r="F10" s="4"/>
      <c r="G10" s="5">
        <v>1</v>
      </c>
      <c r="H10" s="5"/>
      <c r="I10" s="5">
        <v>2</v>
      </c>
      <c r="J10" s="5"/>
    </row>
    <row r="11" spans="1:10">
      <c r="A11" s="4" t="s">
        <v>43</v>
      </c>
      <c r="B11" s="4" t="s">
        <v>25</v>
      </c>
      <c r="C11" s="4">
        <v>20</v>
      </c>
      <c r="D11" s="5">
        <v>0</v>
      </c>
      <c r="E11" s="4">
        <v>150</v>
      </c>
      <c r="F11" s="4"/>
      <c r="G11" s="5">
        <v>1</v>
      </c>
      <c r="H11" s="5"/>
      <c r="I11" s="5">
        <v>2</v>
      </c>
      <c r="J11" s="5"/>
    </row>
    <row r="12" spans="1:10">
      <c r="A12" s="5" t="s">
        <v>44</v>
      </c>
      <c r="B12" s="4" t="s">
        <v>25</v>
      </c>
      <c r="C12" s="5">
        <v>5</v>
      </c>
      <c r="D12" s="5">
        <v>0</v>
      </c>
      <c r="E12" s="4">
        <v>150</v>
      </c>
      <c r="F12" s="5"/>
      <c r="G12" s="5">
        <v>1</v>
      </c>
      <c r="H12" s="5"/>
      <c r="I12" s="5">
        <v>2</v>
      </c>
      <c r="J12" s="5" t="s">
        <v>45</v>
      </c>
    </row>
    <row r="13" spans="1:10">
      <c r="A13" s="5" t="s">
        <v>46</v>
      </c>
      <c r="B13" s="4" t="s">
        <v>25</v>
      </c>
      <c r="C13" s="5">
        <v>40</v>
      </c>
      <c r="D13" s="5">
        <v>0</v>
      </c>
      <c r="E13" s="4">
        <v>150</v>
      </c>
      <c r="F13" s="5"/>
      <c r="G13" s="5">
        <v>1</v>
      </c>
      <c r="H13" s="5"/>
      <c r="I13" s="5">
        <v>2</v>
      </c>
      <c r="J13" s="5" t="s">
        <v>45</v>
      </c>
    </row>
    <row r="14" spans="1:10">
      <c r="A14" s="5" t="s">
        <v>47</v>
      </c>
      <c r="B14" s="4" t="s">
        <v>25</v>
      </c>
      <c r="C14" s="5">
        <v>10</v>
      </c>
      <c r="D14" s="5">
        <v>0</v>
      </c>
      <c r="E14" s="4">
        <v>150</v>
      </c>
      <c r="F14" s="5"/>
      <c r="G14" s="5">
        <v>1</v>
      </c>
      <c r="H14" s="5">
        <v>21</v>
      </c>
      <c r="I14" s="5">
        <v>2</v>
      </c>
      <c r="J14" s="5"/>
    </row>
    <row r="15" spans="1:10">
      <c r="A15" s="5" t="s">
        <v>48</v>
      </c>
      <c r="B15" s="4" t="s">
        <v>25</v>
      </c>
      <c r="C15" s="5">
        <v>30</v>
      </c>
      <c r="D15" s="5">
        <v>1</v>
      </c>
      <c r="E15" s="4">
        <v>150</v>
      </c>
      <c r="F15" s="5"/>
      <c r="G15" s="5">
        <v>1</v>
      </c>
      <c r="H15" s="5">
        <v>21</v>
      </c>
      <c r="I15" s="5">
        <v>2</v>
      </c>
      <c r="J15" s="5"/>
    </row>
    <row r="16" spans="1:10">
      <c r="A16" s="5" t="s">
        <v>49</v>
      </c>
      <c r="B16" s="4" t="s">
        <v>25</v>
      </c>
      <c r="C16" s="5">
        <v>20</v>
      </c>
      <c r="D16" s="5">
        <v>0</v>
      </c>
      <c r="E16" s="4">
        <v>150</v>
      </c>
      <c r="F16" s="5"/>
      <c r="G16" s="5">
        <v>1</v>
      </c>
      <c r="H16" s="5">
        <v>22</v>
      </c>
      <c r="I16" s="5">
        <v>2</v>
      </c>
      <c r="J16" s="5"/>
    </row>
    <row r="17" spans="1:10">
      <c r="A17" s="5" t="s">
        <v>50</v>
      </c>
      <c r="B17" s="4" t="s">
        <v>51</v>
      </c>
      <c r="C17" s="5">
        <v>20</v>
      </c>
      <c r="D17" s="5" t="s">
        <v>21</v>
      </c>
      <c r="E17" s="5">
        <v>150</v>
      </c>
      <c r="F17" s="5"/>
      <c r="G17" s="5">
        <v>0</v>
      </c>
      <c r="H17" s="5"/>
      <c r="I17" s="5" t="s">
        <v>21</v>
      </c>
      <c r="J17" s="5"/>
    </row>
    <row r="18" spans="1:10">
      <c r="A18" s="5" t="s">
        <v>52</v>
      </c>
      <c r="B18" s="4" t="s">
        <v>51</v>
      </c>
      <c r="C18" s="5">
        <v>20</v>
      </c>
      <c r="D18" s="5" t="s">
        <v>21</v>
      </c>
      <c r="E18" s="5">
        <v>150</v>
      </c>
      <c r="F18" s="5"/>
      <c r="G18" s="5">
        <v>0</v>
      </c>
      <c r="H18" s="5"/>
      <c r="I18" s="5" t="s">
        <v>21</v>
      </c>
      <c r="J18" s="5"/>
    </row>
    <row r="19" spans="1:10">
      <c r="A19" s="5" t="s">
        <v>53</v>
      </c>
      <c r="B19" s="5" t="s">
        <v>25</v>
      </c>
      <c r="C19" s="5">
        <v>20</v>
      </c>
      <c r="D19" s="5">
        <v>1</v>
      </c>
      <c r="E19" s="5">
        <v>300</v>
      </c>
      <c r="F19" s="5"/>
      <c r="G19" s="5">
        <v>1</v>
      </c>
      <c r="H19" s="5">
        <v>21</v>
      </c>
      <c r="I19" s="5">
        <v>2</v>
      </c>
      <c r="J19" s="5"/>
    </row>
    <row r="20" spans="1:10">
      <c r="A20" s="5" t="s">
        <v>54</v>
      </c>
      <c r="B20" s="5" t="s">
        <v>25</v>
      </c>
      <c r="C20" s="5">
        <v>10</v>
      </c>
      <c r="D20" s="5">
        <v>0</v>
      </c>
      <c r="E20" s="5">
        <v>300</v>
      </c>
      <c r="F20" s="5"/>
      <c r="G20" s="5">
        <v>1</v>
      </c>
      <c r="H20" s="5"/>
      <c r="I20" s="5">
        <v>2</v>
      </c>
      <c r="J20" s="5"/>
    </row>
    <row r="21" spans="1:10">
      <c r="A21" s="5" t="s">
        <v>55</v>
      </c>
      <c r="B21" s="5" t="s">
        <v>25</v>
      </c>
      <c r="C21" s="5">
        <v>30</v>
      </c>
      <c r="D21" s="5">
        <v>1</v>
      </c>
      <c r="E21" s="5">
        <v>300</v>
      </c>
      <c r="F21" s="5"/>
      <c r="G21" s="5">
        <v>1</v>
      </c>
      <c r="H21" s="5"/>
      <c r="I21" s="5">
        <v>2</v>
      </c>
      <c r="J21" s="5"/>
    </row>
    <row r="22" spans="1:10">
      <c r="A22" s="5" t="s">
        <v>56</v>
      </c>
      <c r="B22" s="5" t="s">
        <v>25</v>
      </c>
      <c r="C22" s="5">
        <v>40</v>
      </c>
      <c r="D22" s="5">
        <v>1</v>
      </c>
      <c r="E22" s="5">
        <v>300</v>
      </c>
      <c r="F22" s="5"/>
      <c r="G22" s="5">
        <v>1</v>
      </c>
      <c r="H22" s="5"/>
      <c r="I22" s="5">
        <v>2</v>
      </c>
      <c r="J22" s="5"/>
    </row>
    <row r="23" spans="1:10">
      <c r="A23" s="5" t="s">
        <v>57</v>
      </c>
      <c r="B23" s="5" t="s">
        <v>25</v>
      </c>
      <c r="C23" s="5">
        <v>20</v>
      </c>
      <c r="D23" s="5">
        <v>0</v>
      </c>
      <c r="E23" s="5">
        <v>300</v>
      </c>
      <c r="F23" s="5"/>
      <c r="G23" s="5">
        <v>1</v>
      </c>
      <c r="H23" s="5"/>
      <c r="I23" s="5">
        <v>2</v>
      </c>
      <c r="J23" s="5"/>
    </row>
    <row r="24" spans="1:10">
      <c r="A24" s="5" t="s">
        <v>58</v>
      </c>
      <c r="B24" s="5" t="s">
        <v>25</v>
      </c>
      <c r="C24" s="5">
        <v>5</v>
      </c>
      <c r="D24" s="5"/>
      <c r="E24" s="5">
        <v>300</v>
      </c>
      <c r="F24" s="5"/>
      <c r="G24" s="5">
        <v>1</v>
      </c>
      <c r="H24" s="5"/>
      <c r="I24" s="5">
        <v>2</v>
      </c>
      <c r="J24" s="5"/>
    </row>
    <row r="25" spans="1:10">
      <c r="A25" s="5" t="s">
        <v>59</v>
      </c>
      <c r="B25" s="5" t="s">
        <v>25</v>
      </c>
      <c r="C25" s="5">
        <v>10</v>
      </c>
      <c r="D25" s="5"/>
      <c r="E25" s="5">
        <v>300</v>
      </c>
      <c r="F25" s="5"/>
      <c r="G25" s="5">
        <v>1</v>
      </c>
      <c r="H25" s="5"/>
      <c r="I25" s="5">
        <v>2</v>
      </c>
      <c r="J25" s="5"/>
    </row>
    <row r="26" spans="1:10">
      <c r="A26" s="5" t="s">
        <v>60</v>
      </c>
      <c r="B26" s="4" t="s">
        <v>61</v>
      </c>
      <c r="C26" s="5"/>
      <c r="D26" s="5"/>
      <c r="E26" s="5">
        <v>300</v>
      </c>
      <c r="F26" s="5"/>
      <c r="G26" s="5">
        <v>1</v>
      </c>
      <c r="H26" s="5"/>
      <c r="I26" s="5">
        <v>2</v>
      </c>
      <c r="J26" s="5"/>
    </row>
    <row r="27" spans="1:10">
      <c r="A27" s="5" t="s">
        <v>62</v>
      </c>
      <c r="B27" s="4" t="s">
        <v>61</v>
      </c>
      <c r="C27" s="5"/>
      <c r="D27" s="5"/>
      <c r="E27" s="5">
        <v>300</v>
      </c>
      <c r="F27" s="5"/>
      <c r="G27" s="5">
        <v>0</v>
      </c>
      <c r="H27" s="5"/>
      <c r="I27" s="5" t="s">
        <v>21</v>
      </c>
      <c r="J27" s="5"/>
    </row>
    <row r="28" spans="1:10">
      <c r="A28" s="5"/>
      <c r="B28" s="5"/>
      <c r="C28" s="5"/>
      <c r="D28" s="5"/>
      <c r="E28" s="5"/>
      <c r="F28" s="5"/>
      <c r="G28" s="5">
        <v>0</v>
      </c>
      <c r="H28" s="5"/>
      <c r="I28" s="5" t="s">
        <v>21</v>
      </c>
      <c r="J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topLeftCell="A10" workbookViewId="0">
      <selection activeCell="G10" sqref="G1:G1048576"/>
    </sheetView>
  </sheetViews>
  <sheetFormatPr baseColWidth="10" defaultColWidth="9.125" defaultRowHeight="14.25"/>
  <cols>
    <col min="1" max="1" width="74.875" style="1" customWidth="1"/>
    <col min="2" max="2" width="9.125" style="1"/>
    <col min="3" max="3" width="3.62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1" style="1" bestFit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67</v>
      </c>
      <c r="B2" s="10" t="s">
        <v>68</v>
      </c>
      <c r="C2" s="10">
        <v>40</v>
      </c>
      <c r="D2" s="10">
        <v>1</v>
      </c>
      <c r="E2" s="10"/>
      <c r="F2" s="5">
        <v>150</v>
      </c>
      <c r="G2" s="5"/>
      <c r="H2" s="5">
        <v>0</v>
      </c>
      <c r="I2" s="5">
        <v>1</v>
      </c>
      <c r="J2" s="5">
        <f>MAX(I:I)</f>
        <v>5</v>
      </c>
      <c r="K2" s="5">
        <v>76</v>
      </c>
      <c r="L2" s="5"/>
      <c r="M2" s="5">
        <v>51</v>
      </c>
    </row>
    <row r="3" spans="1:13">
      <c r="A3" s="9" t="s">
        <v>69</v>
      </c>
      <c r="B3" s="10" t="s">
        <v>68</v>
      </c>
      <c r="C3" s="10">
        <v>30</v>
      </c>
      <c r="D3" s="10">
        <v>0</v>
      </c>
      <c r="E3" s="10"/>
      <c r="F3" s="5">
        <v>150</v>
      </c>
      <c r="G3" s="5"/>
      <c r="H3" s="5">
        <v>0</v>
      </c>
      <c r="I3" s="5">
        <v>1</v>
      </c>
      <c r="J3" s="5"/>
      <c r="K3" s="5">
        <v>77</v>
      </c>
      <c r="L3" s="5"/>
      <c r="M3" s="5">
        <v>65</v>
      </c>
    </row>
    <row r="4" spans="1:13">
      <c r="A4" s="9" t="s">
        <v>70</v>
      </c>
      <c r="B4" s="10" t="s">
        <v>68</v>
      </c>
      <c r="C4" s="10">
        <v>10</v>
      </c>
      <c r="D4" s="10">
        <v>1</v>
      </c>
      <c r="E4" s="10"/>
      <c r="F4" s="5">
        <v>150</v>
      </c>
      <c r="G4" s="5"/>
      <c r="H4" s="5">
        <v>0</v>
      </c>
      <c r="I4" s="5">
        <v>1</v>
      </c>
      <c r="J4" s="5"/>
      <c r="K4" s="5">
        <v>237</v>
      </c>
      <c r="L4" s="5"/>
      <c r="M4" s="5">
        <v>201</v>
      </c>
    </row>
    <row r="5" spans="1:13">
      <c r="A5" s="5" t="s">
        <v>71</v>
      </c>
      <c r="B5" s="10" t="s">
        <v>68</v>
      </c>
      <c r="C5" s="5">
        <v>5</v>
      </c>
      <c r="D5" s="5">
        <v>0</v>
      </c>
      <c r="E5" s="5"/>
      <c r="F5" s="5">
        <v>150</v>
      </c>
      <c r="G5" s="5"/>
      <c r="H5" s="5">
        <v>0</v>
      </c>
      <c r="I5" s="5">
        <v>1</v>
      </c>
      <c r="J5" s="5"/>
      <c r="K5" s="5">
        <v>428</v>
      </c>
      <c r="L5" s="5"/>
      <c r="M5" s="5">
        <v>400</v>
      </c>
    </row>
    <row r="6" spans="1:13">
      <c r="A6" s="5" t="s">
        <v>72</v>
      </c>
      <c r="B6" s="10" t="s">
        <v>68</v>
      </c>
      <c r="C6" s="5">
        <v>40</v>
      </c>
      <c r="D6" s="5">
        <v>1</v>
      </c>
      <c r="E6" s="5"/>
      <c r="F6" s="5">
        <v>150</v>
      </c>
      <c r="G6" s="5"/>
      <c r="H6" s="5">
        <v>0</v>
      </c>
      <c r="I6" s="5">
        <v>1</v>
      </c>
      <c r="J6" s="5"/>
      <c r="K6" s="5">
        <v>75</v>
      </c>
      <c r="L6" s="5"/>
      <c r="M6" s="5">
        <v>46</v>
      </c>
    </row>
    <row r="7" spans="1:13">
      <c r="A7" s="5" t="s">
        <v>73</v>
      </c>
      <c r="B7" s="10" t="s">
        <v>68</v>
      </c>
      <c r="C7" s="5">
        <v>20</v>
      </c>
      <c r="D7" s="5">
        <v>1</v>
      </c>
      <c r="E7" s="5"/>
      <c r="F7" s="5">
        <v>150</v>
      </c>
      <c r="G7" s="5"/>
      <c r="H7" s="5">
        <v>0</v>
      </c>
      <c r="I7" s="5">
        <v>1</v>
      </c>
      <c r="J7" s="5"/>
      <c r="K7" s="5">
        <v>108</v>
      </c>
      <c r="L7" s="5"/>
      <c r="M7" s="5">
        <v>91</v>
      </c>
    </row>
    <row r="8" spans="1:13">
      <c r="A8" s="5" t="s">
        <v>74</v>
      </c>
      <c r="B8" s="5" t="s">
        <v>75</v>
      </c>
      <c r="C8" s="5">
        <v>20</v>
      </c>
      <c r="D8" s="5"/>
      <c r="E8" s="5"/>
      <c r="F8" s="5">
        <v>150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7" t="s">
        <v>76</v>
      </c>
      <c r="B9" s="7" t="s">
        <v>10</v>
      </c>
      <c r="C9" s="7">
        <v>10</v>
      </c>
      <c r="D9" s="7">
        <v>0</v>
      </c>
      <c r="E9" s="7"/>
      <c r="F9" s="7">
        <v>150</v>
      </c>
      <c r="G9" s="7"/>
      <c r="H9" s="7">
        <v>0</v>
      </c>
      <c r="I9" s="7">
        <v>2</v>
      </c>
      <c r="J9" s="7"/>
      <c r="K9" s="7">
        <v>237</v>
      </c>
      <c r="L9" s="7"/>
      <c r="M9" s="7">
        <v>207</v>
      </c>
    </row>
    <row r="10" spans="1:13">
      <c r="A10" s="7" t="s">
        <v>77</v>
      </c>
      <c r="B10" s="7" t="s">
        <v>10</v>
      </c>
      <c r="C10" s="7">
        <v>40</v>
      </c>
      <c r="D10" s="7">
        <v>1</v>
      </c>
      <c r="E10" s="7"/>
      <c r="F10" s="7">
        <v>150</v>
      </c>
      <c r="G10" s="7"/>
      <c r="H10" s="7">
        <v>0</v>
      </c>
      <c r="I10" s="7">
        <v>2</v>
      </c>
      <c r="J10" s="7"/>
      <c r="K10" s="7">
        <v>77</v>
      </c>
      <c r="L10" s="7"/>
      <c r="M10" s="7">
        <v>54</v>
      </c>
    </row>
    <row r="11" spans="1:13">
      <c r="A11" s="8" t="s">
        <v>78</v>
      </c>
      <c r="B11" s="7" t="s">
        <v>10</v>
      </c>
      <c r="C11" s="8">
        <v>5</v>
      </c>
      <c r="D11" s="7">
        <v>0</v>
      </c>
      <c r="E11" s="7"/>
      <c r="F11" s="7">
        <v>150</v>
      </c>
      <c r="G11" s="8"/>
      <c r="H11" s="7">
        <v>0</v>
      </c>
      <c r="I11" s="7">
        <v>2</v>
      </c>
      <c r="J11" s="7"/>
      <c r="K11" s="7">
        <v>426</v>
      </c>
      <c r="L11" s="7"/>
      <c r="M11" s="7">
        <v>417</v>
      </c>
    </row>
    <row r="12" spans="1:13">
      <c r="A12" s="8" t="s">
        <v>79</v>
      </c>
      <c r="B12" s="7" t="s">
        <v>10</v>
      </c>
      <c r="C12" s="8">
        <v>30</v>
      </c>
      <c r="D12" s="7">
        <v>0</v>
      </c>
      <c r="E12" s="7"/>
      <c r="F12" s="7">
        <v>150</v>
      </c>
      <c r="G12" s="8"/>
      <c r="H12" s="7">
        <v>0</v>
      </c>
      <c r="I12" s="7">
        <v>2</v>
      </c>
      <c r="J12" s="7"/>
      <c r="K12" s="7">
        <v>77</v>
      </c>
      <c r="L12" s="7"/>
      <c r="M12" s="7">
        <v>78</v>
      </c>
    </row>
    <row r="13" spans="1:13">
      <c r="A13" s="8" t="s">
        <v>80</v>
      </c>
      <c r="B13" s="7" t="s">
        <v>10</v>
      </c>
      <c r="C13" s="8">
        <v>20</v>
      </c>
      <c r="D13" s="7">
        <v>1</v>
      </c>
      <c r="E13" s="7"/>
      <c r="F13" s="7">
        <v>150</v>
      </c>
      <c r="G13" s="8"/>
      <c r="H13" s="7">
        <v>0</v>
      </c>
      <c r="I13" s="7">
        <v>2</v>
      </c>
      <c r="J13" s="7"/>
      <c r="K13" s="7">
        <v>107</v>
      </c>
      <c r="L13" s="7"/>
      <c r="M13" s="7">
        <v>93</v>
      </c>
    </row>
    <row r="14" spans="1:13">
      <c r="A14" s="8" t="s">
        <v>81</v>
      </c>
      <c r="B14" s="7" t="s">
        <v>10</v>
      </c>
      <c r="C14" s="8">
        <v>10</v>
      </c>
      <c r="D14" s="7">
        <v>0</v>
      </c>
      <c r="E14" s="7"/>
      <c r="F14" s="7">
        <v>150</v>
      </c>
      <c r="G14" s="8"/>
      <c r="H14" s="7">
        <v>0</v>
      </c>
      <c r="I14" s="7">
        <v>2</v>
      </c>
      <c r="J14" s="7"/>
      <c r="K14" s="7">
        <v>236</v>
      </c>
      <c r="L14" s="7"/>
      <c r="M14" s="7">
        <v>206</v>
      </c>
    </row>
    <row r="15" spans="1:13">
      <c r="A15" s="8" t="s">
        <v>82</v>
      </c>
      <c r="B15" s="7" t="s">
        <v>83</v>
      </c>
      <c r="C15" s="8">
        <v>20</v>
      </c>
      <c r="D15" s="7">
        <v>-1</v>
      </c>
      <c r="E15" s="7"/>
      <c r="F15" s="7">
        <v>150</v>
      </c>
      <c r="G15" s="8"/>
      <c r="H15" s="7">
        <v>0</v>
      </c>
      <c r="I15" s="7">
        <v>2</v>
      </c>
      <c r="J15" s="7"/>
      <c r="K15" s="7">
        <v>-1</v>
      </c>
      <c r="L15" s="7">
        <v>-1</v>
      </c>
      <c r="M15" s="7">
        <v>-1</v>
      </c>
    </row>
    <row r="16" spans="1:13">
      <c r="A16" s="4" t="s">
        <v>84</v>
      </c>
      <c r="B16" s="5" t="s">
        <v>85</v>
      </c>
      <c r="C16" s="4">
        <v>20</v>
      </c>
      <c r="D16" s="5">
        <v>-1</v>
      </c>
      <c r="E16" s="5"/>
      <c r="F16" s="5">
        <v>150</v>
      </c>
      <c r="G16" s="4"/>
      <c r="H16" s="5">
        <v>0</v>
      </c>
      <c r="I16" s="5">
        <v>3</v>
      </c>
      <c r="J16" s="5"/>
      <c r="K16" s="5">
        <v>-1</v>
      </c>
      <c r="L16" s="5">
        <v>-1</v>
      </c>
      <c r="M16" s="5">
        <v>-1</v>
      </c>
    </row>
    <row r="17" spans="1:13">
      <c r="A17" s="4" t="s">
        <v>86</v>
      </c>
      <c r="B17" s="4" t="s">
        <v>25</v>
      </c>
      <c r="C17" s="4">
        <v>10</v>
      </c>
      <c r="D17" s="5">
        <v>0</v>
      </c>
      <c r="E17" s="5"/>
      <c r="F17" s="5">
        <v>150</v>
      </c>
      <c r="G17" s="4"/>
      <c r="H17" s="5">
        <v>1</v>
      </c>
      <c r="I17" s="5">
        <v>3</v>
      </c>
      <c r="J17" s="5"/>
      <c r="K17" s="5">
        <v>236</v>
      </c>
      <c r="L17" s="5"/>
      <c r="M17" s="5">
        <v>202</v>
      </c>
    </row>
    <row r="18" spans="1:13">
      <c r="A18" s="4" t="s">
        <v>87</v>
      </c>
      <c r="B18" s="4" t="s">
        <v>25</v>
      </c>
      <c r="C18" s="4">
        <v>40</v>
      </c>
      <c r="D18" s="5">
        <v>0</v>
      </c>
      <c r="E18" s="5"/>
      <c r="F18" s="5">
        <v>150</v>
      </c>
      <c r="G18" s="4"/>
      <c r="H18" s="5">
        <v>1</v>
      </c>
      <c r="I18" s="5">
        <v>3</v>
      </c>
      <c r="J18" s="5"/>
      <c r="K18" s="5">
        <v>74</v>
      </c>
      <c r="L18" s="5"/>
      <c r="M18" s="5">
        <v>51</v>
      </c>
    </row>
    <row r="19" spans="1:13">
      <c r="A19" s="4" t="s">
        <v>88</v>
      </c>
      <c r="B19" s="4" t="s">
        <v>25</v>
      </c>
      <c r="C19" s="4">
        <v>20</v>
      </c>
      <c r="D19" s="5">
        <v>0</v>
      </c>
      <c r="E19" s="5"/>
      <c r="F19" s="5">
        <v>150</v>
      </c>
      <c r="G19" s="4"/>
      <c r="H19" s="5">
        <v>1</v>
      </c>
      <c r="I19" s="5">
        <v>3</v>
      </c>
      <c r="J19" s="5"/>
      <c r="K19" s="5">
        <v>107</v>
      </c>
      <c r="L19" s="5"/>
      <c r="M19" s="5">
        <v>84</v>
      </c>
    </row>
    <row r="20" spans="1:13">
      <c r="A20" s="5" t="s">
        <v>89</v>
      </c>
      <c r="B20" s="4" t="s">
        <v>25</v>
      </c>
      <c r="C20" s="5">
        <v>5</v>
      </c>
      <c r="D20" s="5">
        <v>0</v>
      </c>
      <c r="E20" s="5"/>
      <c r="F20" s="5">
        <v>150</v>
      </c>
      <c r="G20" s="5"/>
      <c r="H20" s="5">
        <v>1</v>
      </c>
      <c r="I20" s="5">
        <v>3</v>
      </c>
      <c r="J20" s="5"/>
      <c r="K20" s="5">
        <v>428</v>
      </c>
      <c r="L20" s="5"/>
      <c r="M20" s="5">
        <v>394</v>
      </c>
    </row>
    <row r="21" spans="1:13">
      <c r="A21" s="5" t="s">
        <v>90</v>
      </c>
      <c r="B21" s="4" t="s">
        <v>25</v>
      </c>
      <c r="C21" s="5">
        <v>30</v>
      </c>
      <c r="D21" s="5">
        <v>0</v>
      </c>
      <c r="E21" s="5"/>
      <c r="F21" s="4">
        <v>150</v>
      </c>
      <c r="G21" s="5"/>
      <c r="H21" s="5">
        <v>1</v>
      </c>
      <c r="I21" s="5">
        <v>3</v>
      </c>
      <c r="J21" s="5"/>
      <c r="K21" s="5">
        <v>77</v>
      </c>
      <c r="L21" s="5"/>
      <c r="M21" s="5">
        <v>67</v>
      </c>
    </row>
    <row r="22" spans="1:13">
      <c r="A22" s="5" t="s">
        <v>91</v>
      </c>
      <c r="B22" s="4" t="s">
        <v>25</v>
      </c>
      <c r="C22" s="5">
        <v>10</v>
      </c>
      <c r="D22" s="5">
        <v>0</v>
      </c>
      <c r="E22" s="5"/>
      <c r="F22" s="4">
        <v>150</v>
      </c>
      <c r="G22" s="5"/>
      <c r="H22" s="5">
        <v>2</v>
      </c>
      <c r="I22" s="5">
        <v>3</v>
      </c>
      <c r="J22" s="5"/>
      <c r="K22" s="5">
        <v>235</v>
      </c>
      <c r="L22" s="5"/>
      <c r="M22" s="5">
        <v>196</v>
      </c>
    </row>
    <row r="23" spans="1:13">
      <c r="A23" s="7" t="s">
        <v>92</v>
      </c>
      <c r="B23" s="8" t="s">
        <v>93</v>
      </c>
      <c r="C23" s="7">
        <v>30</v>
      </c>
      <c r="D23" s="7"/>
      <c r="E23" s="7"/>
      <c r="F23" s="8">
        <v>150</v>
      </c>
      <c r="G23" s="7"/>
      <c r="H23" s="7">
        <v>0</v>
      </c>
      <c r="I23" s="7">
        <v>4</v>
      </c>
      <c r="J23" s="7"/>
      <c r="K23" s="7"/>
      <c r="L23" s="7"/>
      <c r="M23" s="7"/>
    </row>
    <row r="24" spans="1:13">
      <c r="A24" s="7" t="s">
        <v>94</v>
      </c>
      <c r="B24" s="8" t="s">
        <v>93</v>
      </c>
      <c r="C24" s="7">
        <v>10</v>
      </c>
      <c r="D24" s="7"/>
      <c r="E24" s="7"/>
      <c r="F24" s="8">
        <v>150</v>
      </c>
      <c r="G24" s="7"/>
      <c r="H24" s="7">
        <v>0</v>
      </c>
      <c r="I24" s="7">
        <v>4</v>
      </c>
      <c r="J24" s="7"/>
      <c r="K24" s="7"/>
      <c r="L24" s="7"/>
      <c r="M24" s="7"/>
    </row>
    <row r="25" spans="1:13">
      <c r="A25" s="7" t="s">
        <v>95</v>
      </c>
      <c r="B25" s="8" t="s">
        <v>93</v>
      </c>
      <c r="C25" s="7">
        <v>40</v>
      </c>
      <c r="D25" s="7"/>
      <c r="E25" s="7"/>
      <c r="F25" s="8">
        <v>150</v>
      </c>
      <c r="G25" s="7"/>
      <c r="H25" s="7">
        <v>0</v>
      </c>
      <c r="I25" s="7">
        <v>4</v>
      </c>
      <c r="J25" s="7"/>
      <c r="K25" s="7"/>
      <c r="L25" s="7"/>
      <c r="M25" s="7"/>
    </row>
    <row r="26" spans="1:13">
      <c r="A26" s="7" t="s">
        <v>96</v>
      </c>
      <c r="B26" s="8" t="s">
        <v>93</v>
      </c>
      <c r="C26" s="7">
        <v>5</v>
      </c>
      <c r="D26" s="7"/>
      <c r="E26" s="7"/>
      <c r="F26" s="8">
        <v>150</v>
      </c>
      <c r="G26" s="7"/>
      <c r="H26" s="7">
        <v>0</v>
      </c>
      <c r="I26" s="7">
        <v>4</v>
      </c>
      <c r="J26" s="7"/>
      <c r="K26" s="7"/>
      <c r="L26" s="7"/>
      <c r="M26" s="7"/>
    </row>
    <row r="27" spans="1:13">
      <c r="A27" s="7" t="s">
        <v>97</v>
      </c>
      <c r="B27" s="8" t="s">
        <v>93</v>
      </c>
      <c r="C27" s="7">
        <v>20</v>
      </c>
      <c r="D27" s="7"/>
      <c r="E27" s="7"/>
      <c r="F27" s="8">
        <v>150</v>
      </c>
      <c r="G27" s="7"/>
      <c r="H27" s="7">
        <v>0</v>
      </c>
      <c r="I27" s="7">
        <v>4</v>
      </c>
      <c r="J27" s="7"/>
      <c r="K27" s="7"/>
      <c r="L27" s="7"/>
      <c r="M27" s="7"/>
    </row>
    <row r="28" spans="1:13">
      <c r="A28" s="7" t="s">
        <v>98</v>
      </c>
      <c r="B28" s="8" t="s">
        <v>93</v>
      </c>
      <c r="C28" s="7">
        <v>30</v>
      </c>
      <c r="D28" s="7"/>
      <c r="E28" s="7"/>
      <c r="F28" s="8">
        <v>150</v>
      </c>
      <c r="G28" s="13"/>
      <c r="H28" s="7">
        <v>0</v>
      </c>
      <c r="I28" s="7">
        <v>4</v>
      </c>
      <c r="J28" s="7"/>
      <c r="K28" s="7"/>
      <c r="L28" s="7"/>
      <c r="M28" s="7"/>
    </row>
    <row r="29" spans="1:13">
      <c r="A29" s="7" t="s">
        <v>99</v>
      </c>
      <c r="B29" s="7" t="s">
        <v>100</v>
      </c>
      <c r="C29" s="7">
        <v>20</v>
      </c>
      <c r="D29" s="7"/>
      <c r="E29" s="7"/>
      <c r="F29" s="8">
        <v>150</v>
      </c>
      <c r="G29" s="7"/>
      <c r="H29" s="7">
        <v>0</v>
      </c>
      <c r="I29" s="7">
        <v>4</v>
      </c>
      <c r="J29" s="7"/>
      <c r="K29" s="7"/>
      <c r="L29" s="7"/>
      <c r="M29" s="7"/>
    </row>
    <row r="30" spans="1:13">
      <c r="A30" s="5" t="s">
        <v>101</v>
      </c>
      <c r="B30" s="5" t="s">
        <v>102</v>
      </c>
      <c r="C30" s="5">
        <v>40</v>
      </c>
      <c r="D30" s="5"/>
      <c r="E30" s="5"/>
      <c r="F30" s="5">
        <v>300</v>
      </c>
      <c r="G30" s="5"/>
      <c r="H30" s="5">
        <v>0</v>
      </c>
      <c r="I30" s="5">
        <v>5</v>
      </c>
      <c r="J30" s="5"/>
      <c r="K30" s="5"/>
      <c r="L30" s="5"/>
      <c r="M30" s="5"/>
    </row>
    <row r="31" spans="1:13">
      <c r="A31" s="5" t="s">
        <v>103</v>
      </c>
      <c r="B31" s="5" t="s">
        <v>102</v>
      </c>
      <c r="C31" s="5">
        <v>20</v>
      </c>
      <c r="D31" s="5"/>
      <c r="E31" s="5"/>
      <c r="F31" s="5">
        <v>300</v>
      </c>
      <c r="G31" s="5"/>
      <c r="H31" s="5">
        <v>0</v>
      </c>
      <c r="I31" s="5">
        <v>5</v>
      </c>
      <c r="J31" s="5"/>
      <c r="K31" s="5"/>
      <c r="L31" s="5"/>
      <c r="M31" s="5"/>
    </row>
    <row r="32" spans="1:13">
      <c r="A32" s="5" t="s">
        <v>104</v>
      </c>
      <c r="B32" s="5" t="s">
        <v>102</v>
      </c>
      <c r="C32" s="5">
        <v>5</v>
      </c>
      <c r="D32" s="5"/>
      <c r="E32" s="5"/>
      <c r="F32" s="5">
        <v>300</v>
      </c>
      <c r="G32" s="5"/>
      <c r="H32" s="5">
        <v>0</v>
      </c>
      <c r="I32" s="5">
        <v>5</v>
      </c>
      <c r="J32" s="5"/>
      <c r="K32" s="5"/>
      <c r="L32" s="5"/>
      <c r="M32" s="5"/>
    </row>
    <row r="33" spans="1:13">
      <c r="A33" s="5" t="s">
        <v>105</v>
      </c>
      <c r="B33" s="5" t="s">
        <v>102</v>
      </c>
      <c r="C33" s="5">
        <v>10</v>
      </c>
      <c r="D33" s="5"/>
      <c r="E33" s="5"/>
      <c r="F33" s="5">
        <v>300</v>
      </c>
      <c r="G33" s="5"/>
      <c r="H33" s="5">
        <v>0</v>
      </c>
      <c r="I33" s="5">
        <v>5</v>
      </c>
      <c r="J33" s="5"/>
      <c r="K33" s="5"/>
      <c r="L33" s="5"/>
      <c r="M33" s="5"/>
    </row>
    <row r="34" spans="1:13">
      <c r="A34" s="5" t="s">
        <v>106</v>
      </c>
      <c r="B34" s="5" t="s">
        <v>102</v>
      </c>
      <c r="C34" s="5">
        <v>30</v>
      </c>
      <c r="D34" s="5"/>
      <c r="E34" s="5"/>
      <c r="F34" s="5">
        <v>300</v>
      </c>
      <c r="G34" s="5"/>
      <c r="H34" s="5">
        <v>0</v>
      </c>
      <c r="I34" s="5">
        <v>5</v>
      </c>
      <c r="J34" s="5"/>
      <c r="K34" s="5"/>
      <c r="L34" s="5"/>
      <c r="M34" s="5"/>
    </row>
    <row r="35" spans="1:13">
      <c r="A35" s="5" t="s">
        <v>107</v>
      </c>
      <c r="B35" s="5" t="s">
        <v>102</v>
      </c>
      <c r="C35" s="5">
        <v>40</v>
      </c>
      <c r="D35" s="5"/>
      <c r="E35" s="5"/>
      <c r="F35" s="5">
        <v>300</v>
      </c>
      <c r="G35" s="5"/>
      <c r="H35" s="5">
        <v>0</v>
      </c>
      <c r="I35" s="5">
        <v>5</v>
      </c>
      <c r="J35" s="5"/>
      <c r="K35" s="5"/>
      <c r="L35" s="5"/>
      <c r="M35" s="5"/>
    </row>
    <row r="36" spans="1:13">
      <c r="A36" s="5" t="s">
        <v>108</v>
      </c>
      <c r="B36" s="5" t="s">
        <v>109</v>
      </c>
      <c r="C36" s="5">
        <v>20</v>
      </c>
      <c r="D36" s="5"/>
      <c r="E36" s="5"/>
      <c r="F36" s="5">
        <v>300</v>
      </c>
      <c r="G36" s="5"/>
      <c r="H36" s="5">
        <v>0</v>
      </c>
      <c r="I36" s="5">
        <v>5</v>
      </c>
      <c r="J36" s="5"/>
      <c r="K36" s="5"/>
      <c r="L36" s="5"/>
      <c r="M36" s="5"/>
    </row>
    <row r="37" spans="1:13">
      <c r="A37" s="5" t="s">
        <v>110</v>
      </c>
      <c r="B37" s="5" t="s">
        <v>109</v>
      </c>
      <c r="C37" s="5">
        <v>5</v>
      </c>
      <c r="D37" s="5"/>
      <c r="E37" s="5"/>
      <c r="F37" s="5">
        <v>300</v>
      </c>
      <c r="G37" s="5"/>
      <c r="H37" s="5">
        <v>0</v>
      </c>
      <c r="I37" s="27">
        <v>5</v>
      </c>
      <c r="J37" s="5"/>
      <c r="K37" s="5"/>
      <c r="L37" s="5"/>
      <c r="M37" s="5"/>
    </row>
    <row r="38" spans="1:13">
      <c r="A38" s="5" t="s">
        <v>111</v>
      </c>
      <c r="B38" s="5" t="s">
        <v>109</v>
      </c>
      <c r="C38" s="5">
        <v>40</v>
      </c>
      <c r="D38" s="5"/>
      <c r="E38" s="5"/>
      <c r="F38" s="5">
        <v>300</v>
      </c>
      <c r="G38" s="5"/>
      <c r="H38" s="5">
        <v>0</v>
      </c>
      <c r="I38" s="27">
        <v>5</v>
      </c>
      <c r="J38" s="5"/>
      <c r="K38" s="5"/>
      <c r="L38" s="5"/>
      <c r="M38" s="5"/>
    </row>
    <row r="39" spans="1:13">
      <c r="A39" s="5" t="s">
        <v>112</v>
      </c>
      <c r="B39" s="5" t="s">
        <v>102</v>
      </c>
      <c r="C39" s="5">
        <v>30</v>
      </c>
      <c r="D39" s="5"/>
      <c r="E39" s="5"/>
      <c r="F39" s="5">
        <v>150</v>
      </c>
      <c r="G39" s="5"/>
      <c r="H39" s="5">
        <v>0</v>
      </c>
      <c r="I39" s="5">
        <v>5</v>
      </c>
      <c r="J39" s="5"/>
      <c r="K39" s="5"/>
      <c r="L39" s="5"/>
      <c r="M39" s="5"/>
    </row>
    <row r="40" spans="1:13">
      <c r="A40" s="5" t="s">
        <v>113</v>
      </c>
      <c r="B40" s="5" t="s">
        <v>102</v>
      </c>
      <c r="C40" s="5">
        <v>10</v>
      </c>
      <c r="D40" s="5"/>
      <c r="E40" s="5"/>
      <c r="F40" s="5">
        <v>150</v>
      </c>
      <c r="G40" s="5"/>
      <c r="H40" s="5">
        <v>0</v>
      </c>
      <c r="I40" s="5">
        <v>5</v>
      </c>
      <c r="J40" s="5"/>
      <c r="K40" s="5"/>
      <c r="L40" s="5"/>
      <c r="M4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/>
    <col min="3" max="3" width="3.62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114</v>
      </c>
      <c r="B2" s="10" t="s">
        <v>68</v>
      </c>
      <c r="C2" s="10">
        <v>20</v>
      </c>
      <c r="D2" s="10">
        <v>0</v>
      </c>
      <c r="E2" s="10"/>
      <c r="F2" s="5">
        <v>75</v>
      </c>
      <c r="G2" s="5"/>
      <c r="H2" s="5">
        <v>1</v>
      </c>
      <c r="I2" s="5">
        <v>1</v>
      </c>
      <c r="J2" s="5">
        <f>MAX(I:I)</f>
        <v>6</v>
      </c>
      <c r="K2" s="5">
        <v>108</v>
      </c>
      <c r="L2" s="5"/>
      <c r="M2" s="5">
        <v>112</v>
      </c>
    </row>
    <row r="3" spans="1:13">
      <c r="A3" s="9" t="s">
        <v>115</v>
      </c>
      <c r="B3" s="10" t="s">
        <v>68</v>
      </c>
      <c r="C3" s="10">
        <v>5</v>
      </c>
      <c r="D3" s="10">
        <v>0</v>
      </c>
      <c r="E3" s="10"/>
      <c r="F3" s="5">
        <v>75</v>
      </c>
      <c r="G3" s="5"/>
      <c r="H3" s="5">
        <v>1</v>
      </c>
      <c r="I3" s="5">
        <v>1</v>
      </c>
      <c r="J3" s="5"/>
      <c r="K3" s="5">
        <v>428</v>
      </c>
      <c r="L3" s="5"/>
      <c r="M3" s="5">
        <v>741</v>
      </c>
    </row>
    <row r="4" spans="1:13">
      <c r="A4" s="9" t="s">
        <v>116</v>
      </c>
      <c r="B4" s="10" t="s">
        <v>68</v>
      </c>
      <c r="C4" s="10">
        <v>30</v>
      </c>
      <c r="D4" s="10">
        <v>1</v>
      </c>
      <c r="E4" s="10"/>
      <c r="F4" s="5">
        <v>75</v>
      </c>
      <c r="G4" s="5"/>
      <c r="H4" s="5">
        <v>1</v>
      </c>
      <c r="I4" s="5">
        <v>1</v>
      </c>
      <c r="J4" s="5"/>
      <c r="K4" s="5">
        <v>77</v>
      </c>
      <c r="L4" s="5"/>
      <c r="M4" s="5">
        <v>78</v>
      </c>
    </row>
    <row r="5" spans="1:13">
      <c r="A5" s="5" t="s">
        <v>117</v>
      </c>
      <c r="B5" s="10" t="s">
        <v>68</v>
      </c>
      <c r="C5" s="5">
        <v>40</v>
      </c>
      <c r="D5" s="5">
        <v>1</v>
      </c>
      <c r="E5" s="5"/>
      <c r="F5" s="5">
        <v>75</v>
      </c>
      <c r="G5" s="5"/>
      <c r="H5" s="5">
        <v>1</v>
      </c>
      <c r="I5" s="5">
        <v>1</v>
      </c>
      <c r="J5" s="5"/>
      <c r="K5" s="5">
        <v>77</v>
      </c>
      <c r="L5" s="5"/>
      <c r="M5" s="5">
        <v>52</v>
      </c>
    </row>
    <row r="6" spans="1:13">
      <c r="A6" s="5" t="s">
        <v>118</v>
      </c>
      <c r="B6" s="10" t="s">
        <v>68</v>
      </c>
      <c r="C6" s="5">
        <v>10</v>
      </c>
      <c r="D6" s="5">
        <v>0</v>
      </c>
      <c r="E6" s="5">
        <v>0</v>
      </c>
      <c r="F6" s="5">
        <v>75</v>
      </c>
      <c r="G6" s="5"/>
      <c r="H6" s="5">
        <v>1</v>
      </c>
      <c r="I6" s="5">
        <v>1</v>
      </c>
      <c r="J6" s="5"/>
      <c r="K6" s="5">
        <v>237</v>
      </c>
      <c r="L6" s="5"/>
      <c r="M6" s="5">
        <v>9999</v>
      </c>
    </row>
    <row r="7" spans="1:13">
      <c r="A7" s="5" t="s">
        <v>119</v>
      </c>
      <c r="B7" s="10" t="s">
        <v>68</v>
      </c>
      <c r="C7" s="5">
        <v>20</v>
      </c>
      <c r="D7" s="5">
        <v>1</v>
      </c>
      <c r="E7" s="5"/>
      <c r="F7" s="5">
        <v>75</v>
      </c>
      <c r="G7" s="5"/>
      <c r="H7" s="5">
        <v>2</v>
      </c>
      <c r="I7" s="5">
        <v>1</v>
      </c>
      <c r="J7" s="5"/>
      <c r="K7" s="5">
        <v>109</v>
      </c>
      <c r="L7" s="5"/>
      <c r="M7" s="5">
        <v>91</v>
      </c>
    </row>
    <row r="8" spans="1:13">
      <c r="A8" s="5" t="s">
        <v>120</v>
      </c>
      <c r="B8" s="5" t="s">
        <v>75</v>
      </c>
      <c r="C8" s="5">
        <v>10</v>
      </c>
      <c r="D8" s="5" t="s">
        <v>20</v>
      </c>
      <c r="E8" s="5"/>
      <c r="F8" s="5">
        <v>75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121</v>
      </c>
      <c r="B9" s="5" t="s">
        <v>75</v>
      </c>
      <c r="C9" s="5">
        <v>5</v>
      </c>
      <c r="D9" s="5" t="s">
        <v>20</v>
      </c>
      <c r="E9" s="5"/>
      <c r="F9" s="5">
        <v>75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122</v>
      </c>
      <c r="B10" s="5" t="s">
        <v>75</v>
      </c>
      <c r="C10" s="5">
        <v>30</v>
      </c>
      <c r="D10" s="5" t="s">
        <v>20</v>
      </c>
      <c r="E10" s="5"/>
      <c r="F10" s="5">
        <v>75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4" t="s">
        <v>123</v>
      </c>
      <c r="B11" s="5" t="s">
        <v>75</v>
      </c>
      <c r="C11" s="4">
        <v>20</v>
      </c>
      <c r="D11" s="5" t="s">
        <v>20</v>
      </c>
      <c r="E11" s="5"/>
      <c r="F11" s="5">
        <v>75</v>
      </c>
      <c r="G11" s="4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4" t="s">
        <v>124</v>
      </c>
      <c r="B12" s="5" t="s">
        <v>75</v>
      </c>
      <c r="C12" s="4">
        <v>40</v>
      </c>
      <c r="D12" s="5" t="s">
        <v>20</v>
      </c>
      <c r="E12" s="5"/>
      <c r="F12" s="5">
        <v>75</v>
      </c>
      <c r="G12" s="4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8" t="s">
        <v>125</v>
      </c>
      <c r="B13" s="7" t="s">
        <v>10</v>
      </c>
      <c r="C13" s="8">
        <v>20</v>
      </c>
      <c r="D13" s="7">
        <v>1</v>
      </c>
      <c r="E13" s="7"/>
      <c r="F13" s="7">
        <v>250</v>
      </c>
      <c r="G13" s="8"/>
      <c r="H13" s="7">
        <v>1</v>
      </c>
      <c r="I13" s="7">
        <v>2</v>
      </c>
      <c r="J13" s="7"/>
      <c r="K13" s="7">
        <v>109</v>
      </c>
      <c r="L13" s="7"/>
      <c r="M13" s="7">
        <v>94</v>
      </c>
    </row>
    <row r="14" spans="1:13">
      <c r="A14" s="8" t="s">
        <v>126</v>
      </c>
      <c r="B14" s="7" t="s">
        <v>10</v>
      </c>
      <c r="C14" s="8">
        <v>10</v>
      </c>
      <c r="D14" s="7">
        <v>1</v>
      </c>
      <c r="E14" s="7"/>
      <c r="F14" s="7">
        <v>250</v>
      </c>
      <c r="G14" s="8"/>
      <c r="H14" s="7">
        <v>1</v>
      </c>
      <c r="I14" s="7">
        <v>2</v>
      </c>
      <c r="J14" s="7"/>
      <c r="K14" s="7">
        <v>236</v>
      </c>
      <c r="L14" s="7"/>
      <c r="M14" s="7">
        <v>204</v>
      </c>
    </row>
    <row r="15" spans="1:13">
      <c r="A15" s="8" t="s">
        <v>127</v>
      </c>
      <c r="B15" s="7" t="s">
        <v>10</v>
      </c>
      <c r="C15" s="8">
        <v>40</v>
      </c>
      <c r="D15" s="7">
        <v>1</v>
      </c>
      <c r="E15" s="7"/>
      <c r="F15" s="7">
        <v>250</v>
      </c>
      <c r="G15" s="8"/>
      <c r="H15" s="7">
        <v>1</v>
      </c>
      <c r="I15" s="7">
        <v>2</v>
      </c>
      <c r="J15" s="7"/>
      <c r="K15" s="7">
        <v>77</v>
      </c>
      <c r="L15" s="7"/>
      <c r="M15" s="7">
        <v>46</v>
      </c>
    </row>
    <row r="16" spans="1:13">
      <c r="A16" s="8" t="s">
        <v>128</v>
      </c>
      <c r="B16" s="7" t="s">
        <v>10</v>
      </c>
      <c r="C16" s="8">
        <v>5</v>
      </c>
      <c r="D16" s="7">
        <v>0</v>
      </c>
      <c r="E16" s="7"/>
      <c r="F16" s="7">
        <v>250</v>
      </c>
      <c r="G16" s="8"/>
      <c r="H16" s="7">
        <v>1</v>
      </c>
      <c r="I16" s="7">
        <v>2</v>
      </c>
      <c r="J16" s="7"/>
      <c r="K16" s="7">
        <v>428</v>
      </c>
      <c r="L16" s="7"/>
      <c r="M16" s="7">
        <v>411</v>
      </c>
    </row>
    <row r="17" spans="1:13">
      <c r="A17" s="8" t="s">
        <v>129</v>
      </c>
      <c r="B17" s="7" t="s">
        <v>10</v>
      </c>
      <c r="C17" s="8">
        <v>30</v>
      </c>
      <c r="D17" s="7">
        <v>0</v>
      </c>
      <c r="E17" s="7"/>
      <c r="F17" s="7">
        <v>250</v>
      </c>
      <c r="G17" s="8"/>
      <c r="H17" s="7">
        <v>1</v>
      </c>
      <c r="I17" s="7">
        <v>2</v>
      </c>
      <c r="J17" s="7"/>
      <c r="K17" s="7">
        <v>77</v>
      </c>
      <c r="L17" s="7"/>
      <c r="M17" s="7">
        <v>69</v>
      </c>
    </row>
    <row r="18" spans="1:13">
      <c r="A18" s="8" t="s">
        <v>130</v>
      </c>
      <c r="B18" s="7" t="s">
        <v>10</v>
      </c>
      <c r="C18" s="8">
        <v>20</v>
      </c>
      <c r="D18" s="7">
        <v>0</v>
      </c>
      <c r="E18" s="7"/>
      <c r="F18" s="7">
        <v>250</v>
      </c>
      <c r="G18" s="8"/>
      <c r="H18" s="7">
        <v>2</v>
      </c>
      <c r="I18" s="7">
        <v>2</v>
      </c>
      <c r="J18" s="7"/>
      <c r="K18" s="7">
        <v>109</v>
      </c>
      <c r="L18" s="7"/>
      <c r="M18" s="7">
        <v>103</v>
      </c>
    </row>
    <row r="19" spans="1:13">
      <c r="A19" s="8" t="s">
        <v>131</v>
      </c>
      <c r="B19" s="8" t="s">
        <v>40</v>
      </c>
      <c r="C19" s="8">
        <v>5</v>
      </c>
      <c r="D19" s="7" t="s">
        <v>20</v>
      </c>
      <c r="E19" s="7"/>
      <c r="F19" s="7">
        <v>250</v>
      </c>
      <c r="G19" s="8"/>
      <c r="H19" s="7">
        <v>0</v>
      </c>
      <c r="I19" s="7">
        <v>2</v>
      </c>
      <c r="J19" s="7"/>
      <c r="K19" s="7">
        <v>-1</v>
      </c>
      <c r="L19" s="7">
        <v>-1</v>
      </c>
      <c r="M19" s="7">
        <v>-1</v>
      </c>
    </row>
    <row r="20" spans="1:13">
      <c r="A20" s="7" t="s">
        <v>132</v>
      </c>
      <c r="B20" s="8" t="s">
        <v>40</v>
      </c>
      <c r="C20" s="7">
        <v>10</v>
      </c>
      <c r="D20" s="7" t="s">
        <v>20</v>
      </c>
      <c r="E20" s="7"/>
      <c r="F20" s="7">
        <v>250</v>
      </c>
      <c r="G20" s="7"/>
      <c r="H20" s="7">
        <v>0</v>
      </c>
      <c r="I20" s="7">
        <v>2</v>
      </c>
      <c r="J20" s="7"/>
      <c r="K20" s="7">
        <v>-1</v>
      </c>
      <c r="L20" s="7">
        <v>-1</v>
      </c>
      <c r="M20" s="7">
        <v>-1</v>
      </c>
    </row>
    <row r="21" spans="1:13">
      <c r="A21" s="7" t="s">
        <v>133</v>
      </c>
      <c r="B21" s="8" t="s">
        <v>40</v>
      </c>
      <c r="C21" s="7">
        <v>20</v>
      </c>
      <c r="D21" s="7" t="s">
        <v>20</v>
      </c>
      <c r="E21" s="7"/>
      <c r="F21" s="7">
        <v>250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134</v>
      </c>
      <c r="B22" s="8" t="s">
        <v>40</v>
      </c>
      <c r="C22" s="7">
        <v>30</v>
      </c>
      <c r="D22" s="7" t="s">
        <v>20</v>
      </c>
      <c r="E22" s="7"/>
      <c r="F22" s="7">
        <v>250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135</v>
      </c>
      <c r="B23" s="8" t="s">
        <v>40</v>
      </c>
      <c r="C23" s="7">
        <v>40</v>
      </c>
      <c r="D23" s="7" t="s">
        <v>20</v>
      </c>
      <c r="E23" s="7"/>
      <c r="F23" s="7">
        <v>250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5" t="s">
        <v>136</v>
      </c>
      <c r="B24" s="4" t="s">
        <v>25</v>
      </c>
      <c r="C24" s="5">
        <v>40</v>
      </c>
      <c r="D24" s="5">
        <v>1</v>
      </c>
      <c r="E24" s="5"/>
      <c r="F24" s="4">
        <v>250</v>
      </c>
      <c r="G24" s="5"/>
      <c r="H24" s="5">
        <v>1</v>
      </c>
      <c r="I24" s="5">
        <v>3</v>
      </c>
      <c r="J24" s="5"/>
      <c r="K24" s="5">
        <v>78</v>
      </c>
      <c r="L24" s="5"/>
      <c r="M24" s="5">
        <v>44</v>
      </c>
    </row>
    <row r="25" spans="1:13">
      <c r="A25" s="5" t="s">
        <v>137</v>
      </c>
      <c r="B25" s="4" t="s">
        <v>25</v>
      </c>
      <c r="C25" s="5">
        <v>5</v>
      </c>
      <c r="D25" s="5">
        <v>0</v>
      </c>
      <c r="E25" s="5"/>
      <c r="F25" s="4">
        <v>250</v>
      </c>
      <c r="G25" s="5"/>
      <c r="H25" s="5">
        <v>1</v>
      </c>
      <c r="I25" s="5">
        <v>3</v>
      </c>
      <c r="J25" s="5"/>
      <c r="K25" s="5">
        <v>429</v>
      </c>
      <c r="L25" s="5"/>
      <c r="M25" s="5">
        <v>407</v>
      </c>
    </row>
    <row r="26" spans="1:13">
      <c r="A26" s="5" t="s">
        <v>138</v>
      </c>
      <c r="B26" s="4" t="s">
        <v>25</v>
      </c>
      <c r="C26" s="5">
        <v>20</v>
      </c>
      <c r="D26" s="5">
        <v>1</v>
      </c>
      <c r="E26" s="5"/>
      <c r="F26" s="4">
        <v>250</v>
      </c>
      <c r="G26" s="5"/>
      <c r="H26" s="5">
        <v>1</v>
      </c>
      <c r="I26" s="5">
        <v>3</v>
      </c>
      <c r="J26" s="5"/>
      <c r="K26" s="5">
        <v>108</v>
      </c>
      <c r="L26" s="5"/>
      <c r="M26" s="5">
        <v>85</v>
      </c>
    </row>
    <row r="27" spans="1:13">
      <c r="A27" s="5" t="s">
        <v>139</v>
      </c>
      <c r="B27" s="4" t="s">
        <v>25</v>
      </c>
      <c r="C27" s="5">
        <v>10</v>
      </c>
      <c r="D27" s="5">
        <v>0</v>
      </c>
      <c r="E27" s="5"/>
      <c r="F27" s="4">
        <v>250</v>
      </c>
      <c r="G27" s="5"/>
      <c r="H27" s="5">
        <v>1</v>
      </c>
      <c r="I27" s="5">
        <v>3</v>
      </c>
      <c r="J27" s="5"/>
      <c r="K27" s="5">
        <v>237</v>
      </c>
      <c r="L27" s="5"/>
      <c r="M27" s="5">
        <v>200</v>
      </c>
    </row>
    <row r="28" spans="1:13">
      <c r="A28" s="5" t="s">
        <v>140</v>
      </c>
      <c r="B28" s="4" t="s">
        <v>25</v>
      </c>
      <c r="C28" s="5">
        <v>30</v>
      </c>
      <c r="D28" s="5">
        <v>1</v>
      </c>
      <c r="E28" s="5"/>
      <c r="F28" s="4">
        <v>250</v>
      </c>
      <c r="G28" s="11"/>
      <c r="H28" s="5">
        <v>1</v>
      </c>
      <c r="I28" s="5">
        <v>3</v>
      </c>
      <c r="J28" s="5"/>
      <c r="K28" s="5">
        <v>76</v>
      </c>
      <c r="L28" s="5"/>
      <c r="M28" s="5">
        <v>63</v>
      </c>
    </row>
    <row r="29" spans="1:13">
      <c r="A29" s="5" t="s">
        <v>141</v>
      </c>
      <c r="B29" s="4" t="s">
        <v>25</v>
      </c>
      <c r="C29" s="5">
        <v>40</v>
      </c>
      <c r="D29" s="5">
        <v>1</v>
      </c>
      <c r="E29" s="5"/>
      <c r="F29" s="4">
        <v>250</v>
      </c>
      <c r="G29" s="5"/>
      <c r="H29" s="5">
        <v>2</v>
      </c>
      <c r="I29" s="5">
        <v>3</v>
      </c>
      <c r="J29" s="5"/>
      <c r="K29" s="5">
        <v>78</v>
      </c>
      <c r="L29" s="5"/>
      <c r="M29" s="5">
        <v>37</v>
      </c>
    </row>
    <row r="30" spans="1:13">
      <c r="A30" s="5" t="s">
        <v>142</v>
      </c>
      <c r="B30" s="4" t="s">
        <v>25</v>
      </c>
      <c r="C30" s="5">
        <v>5</v>
      </c>
      <c r="D30" s="5" t="s">
        <v>20</v>
      </c>
      <c r="E30" s="5"/>
      <c r="F30" s="4">
        <v>250</v>
      </c>
      <c r="G30" s="5"/>
      <c r="H30" s="5">
        <v>0</v>
      </c>
      <c r="I30" s="5">
        <v>3</v>
      </c>
      <c r="J30" s="5"/>
      <c r="K30" s="5">
        <v>-1</v>
      </c>
      <c r="L30" s="5">
        <v>-1</v>
      </c>
      <c r="M30" s="5">
        <v>-1</v>
      </c>
    </row>
    <row r="31" spans="1:13">
      <c r="A31" s="5" t="s">
        <v>143</v>
      </c>
      <c r="B31" s="4" t="s">
        <v>25</v>
      </c>
      <c r="C31" s="5">
        <v>20</v>
      </c>
      <c r="D31" s="5" t="s">
        <v>20</v>
      </c>
      <c r="E31" s="5"/>
      <c r="F31" s="4">
        <v>250</v>
      </c>
      <c r="G31" s="5"/>
      <c r="H31" s="5">
        <v>0</v>
      </c>
      <c r="I31" s="5">
        <v>3</v>
      </c>
      <c r="J31" s="5"/>
      <c r="K31" s="5">
        <v>-1</v>
      </c>
      <c r="L31" s="5">
        <v>-1</v>
      </c>
      <c r="M31" s="5">
        <v>-1</v>
      </c>
    </row>
    <row r="32" spans="1:13">
      <c r="A32" s="5" t="s">
        <v>144</v>
      </c>
      <c r="B32" s="4" t="s">
        <v>25</v>
      </c>
      <c r="C32" s="5">
        <v>30</v>
      </c>
      <c r="D32" s="5" t="s">
        <v>20</v>
      </c>
      <c r="E32" s="5"/>
      <c r="F32" s="4">
        <v>250</v>
      </c>
      <c r="G32" s="5"/>
      <c r="H32" s="5">
        <v>0</v>
      </c>
      <c r="I32" s="5">
        <v>3</v>
      </c>
      <c r="J32" s="5"/>
      <c r="K32" s="5">
        <v>-1</v>
      </c>
      <c r="L32" s="5">
        <v>-1</v>
      </c>
      <c r="M32" s="5">
        <v>-1</v>
      </c>
    </row>
    <row r="33" spans="1:13">
      <c r="A33" s="5" t="s">
        <v>145</v>
      </c>
      <c r="B33" s="4" t="s">
        <v>25</v>
      </c>
      <c r="C33" s="5">
        <v>40</v>
      </c>
      <c r="D33" s="5" t="s">
        <v>20</v>
      </c>
      <c r="E33" s="5"/>
      <c r="F33" s="4">
        <v>250</v>
      </c>
      <c r="G33" s="5"/>
      <c r="H33" s="5">
        <v>0</v>
      </c>
      <c r="I33" s="5">
        <v>3</v>
      </c>
      <c r="J33" s="5"/>
      <c r="K33" s="5">
        <v>-1</v>
      </c>
      <c r="L33" s="5">
        <v>-1</v>
      </c>
      <c r="M33" s="5">
        <v>-1</v>
      </c>
    </row>
    <row r="34" spans="1:13">
      <c r="A34" s="5" t="s">
        <v>146</v>
      </c>
      <c r="B34" s="4" t="s">
        <v>25</v>
      </c>
      <c r="C34" s="5">
        <v>50</v>
      </c>
      <c r="D34" s="5" t="s">
        <v>20</v>
      </c>
      <c r="E34" s="5"/>
      <c r="F34" s="4">
        <v>250</v>
      </c>
      <c r="G34" s="5"/>
      <c r="H34" s="5">
        <v>0</v>
      </c>
      <c r="I34" s="5">
        <v>3</v>
      </c>
      <c r="J34" s="5"/>
      <c r="K34" s="5">
        <v>-1</v>
      </c>
      <c r="L34" s="5">
        <v>-1</v>
      </c>
      <c r="M34" s="5">
        <v>-1</v>
      </c>
    </row>
    <row r="35" spans="1:13">
      <c r="A35" s="5" t="s">
        <v>147</v>
      </c>
      <c r="B35" s="4" t="s">
        <v>25</v>
      </c>
      <c r="C35" s="5">
        <v>10</v>
      </c>
      <c r="D35" s="5" t="s">
        <v>20</v>
      </c>
      <c r="E35" s="5"/>
      <c r="F35" s="4">
        <v>250</v>
      </c>
      <c r="G35" s="5"/>
      <c r="H35" s="5">
        <v>0</v>
      </c>
      <c r="I35" s="5">
        <v>3</v>
      </c>
      <c r="J35" s="5"/>
      <c r="K35" s="5">
        <v>-1</v>
      </c>
      <c r="L35" s="5">
        <v>-1</v>
      </c>
      <c r="M35" s="5">
        <v>-1</v>
      </c>
    </row>
    <row r="36" spans="1:13">
      <c r="A36" s="7" t="s">
        <v>148</v>
      </c>
      <c r="B36" s="7" t="s">
        <v>93</v>
      </c>
      <c r="C36" s="7">
        <v>10</v>
      </c>
      <c r="D36" s="7">
        <v>0</v>
      </c>
      <c r="E36" s="7"/>
      <c r="F36" s="7">
        <v>250</v>
      </c>
      <c r="G36" s="7"/>
      <c r="H36" s="7">
        <v>1</v>
      </c>
      <c r="I36" s="7">
        <v>4</v>
      </c>
      <c r="J36" s="7"/>
      <c r="K36" s="7">
        <v>236</v>
      </c>
      <c r="L36" s="7"/>
      <c r="M36" s="7">
        <v>198</v>
      </c>
    </row>
    <row r="37" spans="1:13">
      <c r="A37" s="7" t="s">
        <v>149</v>
      </c>
      <c r="B37" s="7" t="s">
        <v>93</v>
      </c>
      <c r="C37" s="7">
        <v>20</v>
      </c>
      <c r="D37" s="7">
        <v>0</v>
      </c>
      <c r="E37" s="7"/>
      <c r="F37" s="7">
        <v>250</v>
      </c>
      <c r="G37" s="7"/>
      <c r="H37" s="7">
        <v>1</v>
      </c>
      <c r="I37" s="12">
        <v>4</v>
      </c>
      <c r="J37" s="7"/>
      <c r="K37" s="7">
        <v>109</v>
      </c>
      <c r="L37" s="7"/>
      <c r="M37" s="7">
        <v>107</v>
      </c>
    </row>
    <row r="38" spans="1:13">
      <c r="A38" s="7" t="s">
        <v>150</v>
      </c>
      <c r="B38" s="7" t="s">
        <v>93</v>
      </c>
      <c r="C38" s="7">
        <v>5</v>
      </c>
      <c r="D38" s="7">
        <v>0</v>
      </c>
      <c r="E38" s="7"/>
      <c r="F38" s="7">
        <v>250</v>
      </c>
      <c r="G38" s="7"/>
      <c r="H38" s="7">
        <v>1</v>
      </c>
      <c r="I38" s="12">
        <v>4</v>
      </c>
      <c r="J38" s="7"/>
      <c r="K38" s="7">
        <v>428</v>
      </c>
      <c r="L38" s="7"/>
      <c r="M38" s="7">
        <v>407</v>
      </c>
    </row>
    <row r="39" spans="1:13">
      <c r="A39" s="7" t="s">
        <v>151</v>
      </c>
      <c r="B39" s="7" t="s">
        <v>93</v>
      </c>
      <c r="C39" s="7">
        <v>40</v>
      </c>
      <c r="D39" s="7">
        <v>1</v>
      </c>
      <c r="E39" s="7"/>
      <c r="F39" s="7">
        <v>250</v>
      </c>
      <c r="G39" s="7"/>
      <c r="H39" s="7">
        <v>1</v>
      </c>
      <c r="I39" s="7">
        <v>4</v>
      </c>
      <c r="J39" s="7"/>
      <c r="K39" s="7">
        <v>77</v>
      </c>
      <c r="L39" s="7"/>
      <c r="M39" s="7">
        <v>41</v>
      </c>
    </row>
    <row r="40" spans="1:13">
      <c r="A40" s="7" t="s">
        <v>152</v>
      </c>
      <c r="B40" s="7" t="s">
        <v>93</v>
      </c>
      <c r="C40" s="7">
        <v>30</v>
      </c>
      <c r="D40" s="7">
        <v>1</v>
      </c>
      <c r="E40" s="7"/>
      <c r="F40" s="7">
        <v>250</v>
      </c>
      <c r="G40" s="7"/>
      <c r="H40" s="7">
        <v>1</v>
      </c>
      <c r="I40" s="7">
        <v>4</v>
      </c>
      <c r="J40" s="7"/>
      <c r="K40" s="7">
        <v>77</v>
      </c>
      <c r="L40" s="7"/>
      <c r="M40" s="7">
        <v>56</v>
      </c>
    </row>
    <row r="41" spans="1:13">
      <c r="A41" s="7" t="s">
        <v>153</v>
      </c>
      <c r="B41" s="7" t="s">
        <v>93</v>
      </c>
      <c r="C41" s="7">
        <v>10</v>
      </c>
      <c r="D41" s="7">
        <v>0</v>
      </c>
      <c r="E41" s="7"/>
      <c r="F41" s="7">
        <v>250</v>
      </c>
      <c r="G41" s="7"/>
      <c r="H41" s="7">
        <v>2</v>
      </c>
      <c r="I41" s="7">
        <v>4</v>
      </c>
      <c r="J41" s="7"/>
      <c r="K41" s="7">
        <v>236</v>
      </c>
      <c r="L41" s="7"/>
      <c r="M41" s="7">
        <v>205</v>
      </c>
    </row>
    <row r="42" spans="1:13">
      <c r="A42" s="7" t="s">
        <v>154</v>
      </c>
      <c r="B42" s="7" t="s">
        <v>93</v>
      </c>
      <c r="C42" s="7">
        <v>5</v>
      </c>
      <c r="D42" s="7" t="s">
        <v>20</v>
      </c>
      <c r="E42" s="7"/>
      <c r="F42" s="7">
        <v>250</v>
      </c>
      <c r="G42" s="7"/>
      <c r="H42" s="7">
        <v>0</v>
      </c>
      <c r="I42" s="7">
        <v>4</v>
      </c>
      <c r="J42" s="7"/>
      <c r="K42" s="7">
        <v>-1</v>
      </c>
      <c r="L42" s="7">
        <v>-1</v>
      </c>
      <c r="M42" s="7">
        <v>-1</v>
      </c>
    </row>
    <row r="43" spans="1:13">
      <c r="A43" s="7" t="s">
        <v>155</v>
      </c>
      <c r="B43" s="7" t="s">
        <v>93</v>
      </c>
      <c r="C43" s="7">
        <v>10</v>
      </c>
      <c r="D43" s="7" t="s">
        <v>20</v>
      </c>
      <c r="E43" s="7"/>
      <c r="F43" s="7">
        <v>250</v>
      </c>
      <c r="G43" s="7"/>
      <c r="H43" s="7">
        <v>0</v>
      </c>
      <c r="I43" s="7">
        <v>4</v>
      </c>
      <c r="J43" s="7"/>
      <c r="K43" s="7">
        <v>-1</v>
      </c>
      <c r="L43" s="7">
        <v>-1</v>
      </c>
      <c r="M43" s="7">
        <v>-1</v>
      </c>
    </row>
    <row r="44" spans="1:13">
      <c r="A44" s="7" t="s">
        <v>156</v>
      </c>
      <c r="B44" s="7" t="s">
        <v>93</v>
      </c>
      <c r="C44" s="7">
        <v>20</v>
      </c>
      <c r="D44" s="7" t="s">
        <v>20</v>
      </c>
      <c r="E44" s="7"/>
      <c r="F44" s="7">
        <v>250</v>
      </c>
      <c r="G44" s="7"/>
      <c r="H44" s="7">
        <v>0</v>
      </c>
      <c r="I44" s="7">
        <v>4</v>
      </c>
      <c r="J44" s="7"/>
      <c r="K44" s="7">
        <v>-1</v>
      </c>
      <c r="L44" s="7">
        <v>-1</v>
      </c>
      <c r="M44" s="7">
        <v>-1</v>
      </c>
    </row>
    <row r="45" spans="1:13">
      <c r="A45" s="7" t="s">
        <v>157</v>
      </c>
      <c r="B45" s="7" t="s">
        <v>93</v>
      </c>
      <c r="C45" s="7">
        <v>30</v>
      </c>
      <c r="D45" s="7" t="s">
        <v>20</v>
      </c>
      <c r="E45" s="7"/>
      <c r="F45" s="7">
        <v>250</v>
      </c>
      <c r="G45" s="7"/>
      <c r="H45" s="7">
        <v>0</v>
      </c>
      <c r="I45" s="7">
        <v>4</v>
      </c>
      <c r="J45" s="7"/>
      <c r="K45" s="7">
        <v>-1</v>
      </c>
      <c r="L45" s="7">
        <v>-1</v>
      </c>
      <c r="M45" s="7">
        <v>-1</v>
      </c>
    </row>
    <row r="46" spans="1:13">
      <c r="A46" s="7" t="s">
        <v>158</v>
      </c>
      <c r="B46" s="7" t="s">
        <v>93</v>
      </c>
      <c r="C46" s="7">
        <v>40</v>
      </c>
      <c r="D46" s="7" t="s">
        <v>20</v>
      </c>
      <c r="E46" s="7"/>
      <c r="F46" s="7">
        <v>250</v>
      </c>
      <c r="G46" s="7"/>
      <c r="H46" s="7">
        <v>0</v>
      </c>
      <c r="I46" s="7">
        <v>4</v>
      </c>
      <c r="J46" s="7"/>
      <c r="K46" s="7">
        <v>-1</v>
      </c>
      <c r="L46" s="7">
        <v>-1</v>
      </c>
      <c r="M46" s="7">
        <v>-1</v>
      </c>
    </row>
    <row r="47" spans="1:13">
      <c r="A47" s="26" t="s">
        <v>159</v>
      </c>
      <c r="B47" s="26" t="s">
        <v>102</v>
      </c>
      <c r="C47" s="26">
        <v>40</v>
      </c>
      <c r="D47" s="26">
        <v>1</v>
      </c>
      <c r="E47" s="26"/>
      <c r="F47" s="26">
        <v>75</v>
      </c>
      <c r="G47" s="26"/>
      <c r="H47" s="26">
        <v>1</v>
      </c>
      <c r="I47" s="26">
        <v>5</v>
      </c>
      <c r="J47" s="26"/>
      <c r="K47" s="26">
        <v>77</v>
      </c>
      <c r="L47" s="26"/>
      <c r="M47" s="26">
        <v>51</v>
      </c>
    </row>
    <row r="48" spans="1:13">
      <c r="A48" s="26" t="s">
        <v>160</v>
      </c>
      <c r="B48" s="26" t="s">
        <v>102</v>
      </c>
      <c r="C48" s="26">
        <v>5</v>
      </c>
      <c r="D48" s="26">
        <v>0</v>
      </c>
      <c r="E48" s="26"/>
      <c r="F48" s="26">
        <v>75</v>
      </c>
      <c r="G48" s="26"/>
      <c r="H48" s="26">
        <v>1</v>
      </c>
      <c r="I48" s="26">
        <v>5</v>
      </c>
      <c r="J48" s="26"/>
      <c r="K48" s="26">
        <v>429</v>
      </c>
      <c r="L48" s="26"/>
      <c r="M48" s="26">
        <v>408</v>
      </c>
    </row>
    <row r="49" spans="1:13">
      <c r="A49" s="26" t="s">
        <v>161</v>
      </c>
      <c r="B49" s="26" t="s">
        <v>102</v>
      </c>
      <c r="C49" s="26">
        <v>20</v>
      </c>
      <c r="D49" s="26">
        <v>0</v>
      </c>
      <c r="E49" s="26"/>
      <c r="F49" s="26">
        <v>75</v>
      </c>
      <c r="G49" s="26"/>
      <c r="H49" s="26">
        <v>1</v>
      </c>
      <c r="I49" s="26">
        <v>5</v>
      </c>
      <c r="J49" s="26"/>
      <c r="K49" s="26">
        <v>109</v>
      </c>
      <c r="L49" s="26"/>
      <c r="M49" s="26">
        <v>101</v>
      </c>
    </row>
    <row r="50" spans="1:13">
      <c r="A50" s="26" t="s">
        <v>162</v>
      </c>
      <c r="B50" s="26" t="s">
        <v>102</v>
      </c>
      <c r="C50" s="26">
        <v>10</v>
      </c>
      <c r="D50" s="26">
        <v>0</v>
      </c>
      <c r="E50" s="26"/>
      <c r="F50" s="26">
        <v>75</v>
      </c>
      <c r="G50" s="26"/>
      <c r="H50" s="26">
        <v>1</v>
      </c>
      <c r="I50" s="26">
        <v>5</v>
      </c>
      <c r="J50" s="26"/>
      <c r="K50" s="26">
        <v>236</v>
      </c>
      <c r="L50" s="26"/>
      <c r="M50" s="26">
        <v>205</v>
      </c>
    </row>
    <row r="51" spans="1:13">
      <c r="A51" s="26" t="s">
        <v>163</v>
      </c>
      <c r="B51" s="26" t="s">
        <v>102</v>
      </c>
      <c r="C51" s="26">
        <v>30</v>
      </c>
      <c r="D51" s="26">
        <v>0</v>
      </c>
      <c r="E51" s="26"/>
      <c r="F51" s="26">
        <v>75</v>
      </c>
      <c r="G51" s="26"/>
      <c r="H51" s="26">
        <v>1</v>
      </c>
      <c r="I51" s="26">
        <v>5</v>
      </c>
      <c r="J51" s="26"/>
      <c r="K51" s="26">
        <v>76</v>
      </c>
      <c r="L51" s="26"/>
      <c r="M51" s="26">
        <v>75</v>
      </c>
    </row>
    <row r="52" spans="1:13">
      <c r="A52" s="26" t="s">
        <v>164</v>
      </c>
      <c r="B52" s="26" t="s">
        <v>102</v>
      </c>
      <c r="C52" s="26">
        <v>40</v>
      </c>
      <c r="D52" s="26">
        <v>1</v>
      </c>
      <c r="E52" s="26"/>
      <c r="F52" s="26">
        <v>75</v>
      </c>
      <c r="G52" s="26"/>
      <c r="H52" s="26">
        <v>2</v>
      </c>
      <c r="I52" s="26">
        <v>5</v>
      </c>
      <c r="J52" s="26"/>
      <c r="K52" s="26">
        <v>76</v>
      </c>
      <c r="L52" s="26"/>
      <c r="M52" s="26">
        <v>47</v>
      </c>
    </row>
    <row r="53" spans="1:13">
      <c r="A53" s="26" t="s">
        <v>165</v>
      </c>
      <c r="B53" s="26" t="s">
        <v>102</v>
      </c>
      <c r="C53" s="26">
        <v>5</v>
      </c>
      <c r="D53" s="26" t="s">
        <v>20</v>
      </c>
      <c r="E53" s="26"/>
      <c r="F53" s="26">
        <v>75</v>
      </c>
      <c r="G53" s="26"/>
      <c r="H53" s="26">
        <v>0</v>
      </c>
      <c r="I53" s="26">
        <v>5</v>
      </c>
      <c r="J53" s="26"/>
      <c r="K53" s="5">
        <v>-1</v>
      </c>
      <c r="L53" s="5">
        <v>-1</v>
      </c>
      <c r="M53" s="5">
        <v>-1</v>
      </c>
    </row>
    <row r="54" spans="1:13">
      <c r="A54" s="26" t="s">
        <v>166</v>
      </c>
      <c r="B54" s="26" t="s">
        <v>102</v>
      </c>
      <c r="C54" s="26">
        <v>10</v>
      </c>
      <c r="D54" s="26" t="s">
        <v>20</v>
      </c>
      <c r="E54" s="26"/>
      <c r="F54" s="26">
        <v>75</v>
      </c>
      <c r="G54" s="26"/>
      <c r="H54" s="26">
        <v>0</v>
      </c>
      <c r="I54" s="26">
        <v>5</v>
      </c>
      <c r="J54" s="26"/>
      <c r="K54" s="5">
        <v>-1</v>
      </c>
      <c r="L54" s="5">
        <v>-1</v>
      </c>
      <c r="M54" s="5">
        <v>-1</v>
      </c>
    </row>
    <row r="55" spans="1:13">
      <c r="A55" s="26" t="s">
        <v>167</v>
      </c>
      <c r="B55" s="26" t="s">
        <v>102</v>
      </c>
      <c r="C55" s="26">
        <v>20</v>
      </c>
      <c r="D55" s="26" t="s">
        <v>20</v>
      </c>
      <c r="E55" s="26"/>
      <c r="F55" s="26">
        <v>75</v>
      </c>
      <c r="G55" s="26"/>
      <c r="H55" s="26">
        <v>0</v>
      </c>
      <c r="I55" s="26">
        <v>5</v>
      </c>
      <c r="J55" s="26"/>
      <c r="K55" s="5">
        <v>-1</v>
      </c>
      <c r="L55" s="5">
        <v>-1</v>
      </c>
      <c r="M55" s="5">
        <v>-1</v>
      </c>
    </row>
    <row r="56" spans="1:13">
      <c r="A56" s="26" t="s">
        <v>168</v>
      </c>
      <c r="B56" s="26" t="s">
        <v>102</v>
      </c>
      <c r="C56" s="26">
        <v>30</v>
      </c>
      <c r="D56" s="26" t="s">
        <v>20</v>
      </c>
      <c r="E56" s="26"/>
      <c r="F56" s="26">
        <v>75</v>
      </c>
      <c r="G56" s="26"/>
      <c r="H56" s="26">
        <v>0</v>
      </c>
      <c r="I56" s="26">
        <v>5</v>
      </c>
      <c r="J56" s="26"/>
      <c r="K56" s="5">
        <v>-1</v>
      </c>
      <c r="L56" s="5">
        <v>-1</v>
      </c>
      <c r="M56" s="5">
        <v>-1</v>
      </c>
    </row>
    <row r="57" spans="1:13">
      <c r="A57" s="26" t="s">
        <v>169</v>
      </c>
      <c r="B57" s="26" t="s">
        <v>102</v>
      </c>
      <c r="C57" s="26">
        <v>40</v>
      </c>
      <c r="D57" s="26" t="s">
        <v>20</v>
      </c>
      <c r="E57" s="26"/>
      <c r="F57" s="26">
        <v>75</v>
      </c>
      <c r="G57" s="26"/>
      <c r="H57" s="26">
        <v>0</v>
      </c>
      <c r="I57" s="26">
        <v>5</v>
      </c>
      <c r="J57" s="26"/>
      <c r="K57" s="5">
        <v>-1</v>
      </c>
      <c r="L57" s="5">
        <v>-1</v>
      </c>
      <c r="M57" s="5">
        <v>-1</v>
      </c>
    </row>
    <row r="58" spans="1:13">
      <c r="A58" s="26" t="s">
        <v>170</v>
      </c>
      <c r="B58" s="26" t="s">
        <v>102</v>
      </c>
      <c r="C58" s="26">
        <v>50</v>
      </c>
      <c r="D58" s="26" t="s">
        <v>20</v>
      </c>
      <c r="E58" s="26"/>
      <c r="F58" s="26">
        <v>75</v>
      </c>
      <c r="G58" s="26"/>
      <c r="H58" s="26">
        <v>0</v>
      </c>
      <c r="I58" s="26">
        <v>5</v>
      </c>
      <c r="J58" s="26"/>
      <c r="K58" s="5">
        <v>-1</v>
      </c>
      <c r="L58" s="5">
        <v>-1</v>
      </c>
      <c r="M58" s="5">
        <v>-1</v>
      </c>
    </row>
    <row r="59" spans="1:13">
      <c r="A59" s="7" t="s">
        <v>171</v>
      </c>
      <c r="B59" s="7" t="s">
        <v>172</v>
      </c>
      <c r="C59" s="7">
        <v>20</v>
      </c>
      <c r="D59" s="7">
        <v>0</v>
      </c>
      <c r="E59" s="7"/>
      <c r="F59" s="7">
        <v>150</v>
      </c>
      <c r="G59" s="7"/>
      <c r="H59" s="7">
        <v>1</v>
      </c>
      <c r="I59" s="7">
        <v>6</v>
      </c>
      <c r="J59" s="7"/>
      <c r="K59" s="7">
        <v>108</v>
      </c>
      <c r="L59" s="7"/>
      <c r="M59" s="7">
        <v>105</v>
      </c>
    </row>
    <row r="60" spans="1:13">
      <c r="A60" s="7" t="s">
        <v>173</v>
      </c>
      <c r="B60" s="7" t="s">
        <v>172</v>
      </c>
      <c r="C60" s="7">
        <v>40</v>
      </c>
      <c r="D60" s="7">
        <v>1</v>
      </c>
      <c r="E60" s="7"/>
      <c r="F60" s="7">
        <v>150</v>
      </c>
      <c r="G60" s="7"/>
      <c r="H60" s="7">
        <v>1</v>
      </c>
      <c r="I60" s="7">
        <v>6</v>
      </c>
      <c r="J60" s="7"/>
      <c r="K60" s="7">
        <v>76</v>
      </c>
      <c r="L60" s="7"/>
      <c r="M60" s="7">
        <v>49</v>
      </c>
    </row>
    <row r="61" spans="1:13">
      <c r="A61" s="7" t="s">
        <v>174</v>
      </c>
      <c r="B61" s="7" t="s">
        <v>172</v>
      </c>
      <c r="C61" s="7">
        <v>5</v>
      </c>
      <c r="D61" s="7">
        <v>0</v>
      </c>
      <c r="E61" s="7"/>
      <c r="F61" s="7">
        <v>150</v>
      </c>
      <c r="G61" s="7"/>
      <c r="H61" s="7">
        <v>1</v>
      </c>
      <c r="I61" s="7">
        <v>6</v>
      </c>
      <c r="J61" s="7"/>
      <c r="K61" s="7">
        <v>429</v>
      </c>
      <c r="L61" s="7"/>
      <c r="M61" s="7">
        <v>404</v>
      </c>
    </row>
    <row r="62" spans="1:13">
      <c r="A62" s="7" t="s">
        <v>175</v>
      </c>
      <c r="B62" s="7" t="s">
        <v>172</v>
      </c>
      <c r="C62" s="7">
        <v>10</v>
      </c>
      <c r="D62" s="7">
        <v>0</v>
      </c>
      <c r="E62" s="7"/>
      <c r="F62" s="7">
        <v>150</v>
      </c>
      <c r="G62" s="7"/>
      <c r="H62" s="7">
        <v>1</v>
      </c>
      <c r="I62" s="7">
        <v>6</v>
      </c>
      <c r="J62" s="7"/>
      <c r="K62" s="7">
        <v>236</v>
      </c>
      <c r="L62" s="7"/>
      <c r="M62" s="7">
        <v>203</v>
      </c>
    </row>
    <row r="63" spans="1:13">
      <c r="A63" s="7" t="s">
        <v>176</v>
      </c>
      <c r="B63" s="7" t="s">
        <v>172</v>
      </c>
      <c r="C63" s="7">
        <v>30</v>
      </c>
      <c r="D63" s="7">
        <v>1</v>
      </c>
      <c r="E63" s="7"/>
      <c r="F63" s="7">
        <v>150</v>
      </c>
      <c r="G63" s="7"/>
      <c r="H63" s="7">
        <v>1</v>
      </c>
      <c r="I63" s="7">
        <v>6</v>
      </c>
      <c r="J63" s="7"/>
      <c r="K63" s="7">
        <v>77</v>
      </c>
      <c r="L63" s="7"/>
      <c r="M63" s="7">
        <v>64</v>
      </c>
    </row>
    <row r="64" spans="1:13">
      <c r="A64" s="7" t="s">
        <v>177</v>
      </c>
      <c r="B64" s="7" t="s">
        <v>172</v>
      </c>
      <c r="C64" s="7">
        <v>20</v>
      </c>
      <c r="D64" s="7">
        <v>1</v>
      </c>
      <c r="E64" s="7"/>
      <c r="F64" s="7">
        <v>150</v>
      </c>
      <c r="G64" s="7"/>
      <c r="H64" s="7">
        <v>2</v>
      </c>
      <c r="I64" s="7">
        <v>6</v>
      </c>
      <c r="J64" s="7"/>
      <c r="K64" s="7">
        <v>108</v>
      </c>
      <c r="L64" s="7"/>
      <c r="M64" s="7">
        <v>94</v>
      </c>
    </row>
    <row r="65" spans="1:13">
      <c r="A65" s="7"/>
      <c r="B65" s="7" t="s">
        <v>172</v>
      </c>
      <c r="C65" s="7">
        <v>5</v>
      </c>
      <c r="D65" s="7" t="s">
        <v>20</v>
      </c>
      <c r="E65" s="7"/>
      <c r="F65" s="7">
        <v>150</v>
      </c>
      <c r="G65" s="7"/>
      <c r="H65" s="7">
        <v>0</v>
      </c>
      <c r="I65" s="7">
        <v>6</v>
      </c>
      <c r="J65" s="7"/>
      <c r="K65" s="7"/>
      <c r="L65" s="7"/>
      <c r="M65" s="7"/>
    </row>
    <row r="66" spans="1:13">
      <c r="A66" s="7"/>
      <c r="B66" s="7" t="s">
        <v>172</v>
      </c>
      <c r="C66" s="7">
        <v>10</v>
      </c>
      <c r="D66" s="7" t="s">
        <v>20</v>
      </c>
      <c r="E66" s="7"/>
      <c r="F66" s="7">
        <v>150</v>
      </c>
      <c r="G66" s="7"/>
      <c r="H66" s="7">
        <v>0</v>
      </c>
      <c r="I66" s="7">
        <v>6</v>
      </c>
      <c r="J66" s="7"/>
      <c r="K66" s="7"/>
      <c r="L66" s="7"/>
      <c r="M66" s="7"/>
    </row>
    <row r="67" spans="1:13">
      <c r="A67" s="7"/>
      <c r="B67" s="7" t="s">
        <v>172</v>
      </c>
      <c r="C67" s="7">
        <v>20</v>
      </c>
      <c r="D67" s="7" t="s">
        <v>20</v>
      </c>
      <c r="E67" s="7"/>
      <c r="F67" s="7">
        <v>150</v>
      </c>
      <c r="G67" s="7"/>
      <c r="H67" s="7">
        <v>0</v>
      </c>
      <c r="I67" s="7">
        <v>6</v>
      </c>
      <c r="J67" s="7"/>
      <c r="K67" s="7"/>
      <c r="L67" s="7"/>
      <c r="M67" s="7"/>
    </row>
    <row r="68" spans="1:13">
      <c r="A68" s="7"/>
      <c r="B68" s="7" t="s">
        <v>172</v>
      </c>
      <c r="C68" s="7">
        <v>30</v>
      </c>
      <c r="D68" s="7" t="s">
        <v>20</v>
      </c>
      <c r="E68" s="7"/>
      <c r="F68" s="7">
        <v>150</v>
      </c>
      <c r="G68" s="7"/>
      <c r="H68" s="7">
        <v>0</v>
      </c>
      <c r="I68" s="7">
        <v>6</v>
      </c>
      <c r="J68" s="7"/>
      <c r="K68" s="7"/>
      <c r="L68" s="7"/>
      <c r="M68" s="7"/>
    </row>
    <row r="69" spans="1:13">
      <c r="A69" s="7"/>
      <c r="B69" s="7" t="s">
        <v>172</v>
      </c>
      <c r="C69" s="7">
        <v>40</v>
      </c>
      <c r="D69" s="7" t="s">
        <v>20</v>
      </c>
      <c r="E69" s="7"/>
      <c r="F69" s="7">
        <v>150</v>
      </c>
      <c r="G69" s="7"/>
      <c r="H69" s="7">
        <v>0</v>
      </c>
      <c r="I69" s="7">
        <v>6</v>
      </c>
      <c r="J69" s="7"/>
      <c r="K69" s="7"/>
      <c r="L69" s="7"/>
      <c r="M6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topLeftCell="A16" workbookViewId="0">
      <selection activeCell="G16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3.62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178</v>
      </c>
      <c r="B2" s="10" t="s">
        <v>10</v>
      </c>
      <c r="C2" s="10">
        <v>5</v>
      </c>
      <c r="D2" s="10">
        <v>0</v>
      </c>
      <c r="E2" s="10"/>
      <c r="F2" s="5">
        <v>75</v>
      </c>
      <c r="G2" s="5"/>
      <c r="H2" s="5">
        <v>1</v>
      </c>
      <c r="I2" s="5">
        <v>1</v>
      </c>
      <c r="J2" s="5">
        <f>MAX(I:I)</f>
        <v>4</v>
      </c>
      <c r="K2" s="5">
        <v>428</v>
      </c>
      <c r="L2" s="5"/>
      <c r="M2" s="5">
        <v>404</v>
      </c>
    </row>
    <row r="3" spans="1:13">
      <c r="A3" s="9" t="s">
        <v>179</v>
      </c>
      <c r="B3" s="10" t="s">
        <v>10</v>
      </c>
      <c r="C3" s="10">
        <v>10</v>
      </c>
      <c r="D3" s="10">
        <v>0</v>
      </c>
      <c r="E3" s="10"/>
      <c r="F3" s="5">
        <v>75</v>
      </c>
      <c r="G3" s="5"/>
      <c r="H3" s="5">
        <v>1</v>
      </c>
      <c r="I3" s="5">
        <v>1</v>
      </c>
      <c r="J3" s="5"/>
      <c r="K3" s="5">
        <v>237</v>
      </c>
      <c r="L3" s="5"/>
      <c r="M3" s="5">
        <v>207</v>
      </c>
    </row>
    <row r="4" spans="1:13">
      <c r="A4" s="9" t="s">
        <v>180</v>
      </c>
      <c r="B4" s="10" t="s">
        <v>10</v>
      </c>
      <c r="C4" s="10">
        <v>20</v>
      </c>
      <c r="D4" s="10">
        <v>0</v>
      </c>
      <c r="E4" s="10"/>
      <c r="F4" s="5">
        <v>75</v>
      </c>
      <c r="G4" s="5"/>
      <c r="H4" s="5">
        <v>1</v>
      </c>
      <c r="I4" s="5">
        <v>1</v>
      </c>
      <c r="J4" s="5"/>
      <c r="K4" s="5">
        <v>109</v>
      </c>
      <c r="L4" s="5"/>
      <c r="M4" s="5">
        <v>108</v>
      </c>
    </row>
    <row r="5" spans="1:13">
      <c r="A5" s="5" t="s">
        <v>181</v>
      </c>
      <c r="B5" s="10" t="s">
        <v>10</v>
      </c>
      <c r="C5" s="5">
        <v>40</v>
      </c>
      <c r="D5" s="5">
        <v>0</v>
      </c>
      <c r="E5" s="5"/>
      <c r="F5" s="5">
        <v>75</v>
      </c>
      <c r="G5" s="5"/>
      <c r="H5" s="5">
        <v>1</v>
      </c>
      <c r="I5" s="5">
        <v>1</v>
      </c>
      <c r="J5" s="5"/>
      <c r="K5" s="5">
        <v>77</v>
      </c>
      <c r="L5" s="5"/>
      <c r="M5" s="5">
        <v>58</v>
      </c>
    </row>
    <row r="6" spans="1:13">
      <c r="A6" s="5" t="s">
        <v>182</v>
      </c>
      <c r="B6" s="10" t="s">
        <v>10</v>
      </c>
      <c r="C6" s="5">
        <v>30</v>
      </c>
      <c r="D6" s="5"/>
      <c r="E6" s="5"/>
      <c r="F6" s="5">
        <v>75</v>
      </c>
      <c r="G6" s="5"/>
      <c r="H6" s="5">
        <v>1</v>
      </c>
      <c r="I6" s="5">
        <v>1</v>
      </c>
      <c r="J6" s="5" t="s">
        <v>183</v>
      </c>
      <c r="K6" s="5">
        <v>76</v>
      </c>
      <c r="L6" s="5"/>
      <c r="M6" s="5">
        <v>71</v>
      </c>
    </row>
    <row r="7" spans="1:13">
      <c r="A7" s="5" t="s">
        <v>184</v>
      </c>
      <c r="B7" s="5" t="s">
        <v>83</v>
      </c>
      <c r="C7" s="5">
        <v>5</v>
      </c>
      <c r="D7" s="5" t="s">
        <v>20</v>
      </c>
      <c r="E7" s="5"/>
      <c r="F7" s="5">
        <v>75</v>
      </c>
      <c r="G7" s="5"/>
      <c r="H7" s="5">
        <v>0</v>
      </c>
      <c r="I7" s="5">
        <v>1</v>
      </c>
      <c r="J7" s="5"/>
      <c r="K7" s="5">
        <v>-1</v>
      </c>
      <c r="L7" s="5">
        <v>-1</v>
      </c>
      <c r="M7" s="5">
        <v>-1</v>
      </c>
    </row>
    <row r="8" spans="1:13">
      <c r="A8" s="5" t="s">
        <v>185</v>
      </c>
      <c r="B8" s="5" t="s">
        <v>83</v>
      </c>
      <c r="C8" s="5">
        <v>10</v>
      </c>
      <c r="D8" s="5" t="s">
        <v>20</v>
      </c>
      <c r="E8" s="5"/>
      <c r="F8" s="5">
        <v>75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186</v>
      </c>
      <c r="B9" s="5" t="s">
        <v>83</v>
      </c>
      <c r="C9" s="5">
        <v>20</v>
      </c>
      <c r="D9" s="5" t="s">
        <v>20</v>
      </c>
      <c r="E9" s="5"/>
      <c r="F9" s="5">
        <v>75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187</v>
      </c>
      <c r="B10" s="5" t="s">
        <v>83</v>
      </c>
      <c r="C10" s="5">
        <v>30</v>
      </c>
      <c r="D10" s="5" t="s">
        <v>20</v>
      </c>
      <c r="E10" s="5"/>
      <c r="F10" s="5">
        <v>75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4" t="s">
        <v>188</v>
      </c>
      <c r="B11" s="5" t="s">
        <v>83</v>
      </c>
      <c r="C11" s="4">
        <v>40</v>
      </c>
      <c r="D11" s="5" t="s">
        <v>20</v>
      </c>
      <c r="E11" s="5"/>
      <c r="F11" s="5">
        <v>75</v>
      </c>
      <c r="G11" s="4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8" t="s">
        <v>189</v>
      </c>
      <c r="B12" s="7" t="s">
        <v>25</v>
      </c>
      <c r="C12" s="8">
        <v>20</v>
      </c>
      <c r="D12" s="7">
        <v>1</v>
      </c>
      <c r="E12" s="7"/>
      <c r="F12" s="7">
        <v>250</v>
      </c>
      <c r="G12" s="8"/>
      <c r="H12" s="7">
        <v>1</v>
      </c>
      <c r="I12" s="7">
        <v>2</v>
      </c>
      <c r="J12" s="7"/>
      <c r="K12" s="7">
        <v>109</v>
      </c>
      <c r="L12" s="7"/>
      <c r="M12" s="7">
        <v>101</v>
      </c>
    </row>
    <row r="13" spans="1:13">
      <c r="A13" s="8" t="s">
        <v>190</v>
      </c>
      <c r="B13" s="7" t="s">
        <v>25</v>
      </c>
      <c r="C13" s="8">
        <v>5</v>
      </c>
      <c r="D13" s="7">
        <v>0</v>
      </c>
      <c r="E13" s="7"/>
      <c r="F13" s="7">
        <v>250</v>
      </c>
      <c r="G13" s="8"/>
      <c r="H13" s="7">
        <v>1</v>
      </c>
      <c r="I13" s="7">
        <v>2</v>
      </c>
      <c r="J13" s="7"/>
      <c r="K13" s="7">
        <v>429</v>
      </c>
      <c r="L13" s="7"/>
      <c r="M13" s="7">
        <v>9999</v>
      </c>
    </row>
    <row r="14" spans="1:13">
      <c r="A14" s="8" t="s">
        <v>191</v>
      </c>
      <c r="B14" s="7" t="s">
        <v>25</v>
      </c>
      <c r="C14" s="8">
        <v>40</v>
      </c>
      <c r="D14" s="7">
        <v>1</v>
      </c>
      <c r="E14" s="7"/>
      <c r="F14" s="7">
        <v>250</v>
      </c>
      <c r="G14" s="8"/>
      <c r="H14" s="7">
        <v>1</v>
      </c>
      <c r="I14" s="7">
        <v>2</v>
      </c>
      <c r="J14" s="7"/>
      <c r="K14" s="7">
        <v>77</v>
      </c>
      <c r="L14" s="7"/>
      <c r="M14" s="7">
        <v>41</v>
      </c>
    </row>
    <row r="15" spans="1:13">
      <c r="A15" s="8" t="s">
        <v>192</v>
      </c>
      <c r="B15" s="7" t="s">
        <v>25</v>
      </c>
      <c r="C15" s="8">
        <v>10</v>
      </c>
      <c r="D15" s="7">
        <v>1</v>
      </c>
      <c r="E15" s="7"/>
      <c r="F15" s="7">
        <v>250</v>
      </c>
      <c r="G15" s="8"/>
      <c r="H15" s="7">
        <v>1</v>
      </c>
      <c r="I15" s="7">
        <v>2</v>
      </c>
      <c r="J15" s="7"/>
      <c r="K15" s="7">
        <v>238</v>
      </c>
      <c r="L15" s="7"/>
      <c r="M15" s="7">
        <v>208</v>
      </c>
    </row>
    <row r="16" spans="1:13">
      <c r="A16" s="8" t="s">
        <v>193</v>
      </c>
      <c r="B16" s="7" t="s">
        <v>25</v>
      </c>
      <c r="C16" s="8">
        <v>30</v>
      </c>
      <c r="D16" s="7">
        <v>1</v>
      </c>
      <c r="E16" s="7"/>
      <c r="F16" s="7">
        <v>250</v>
      </c>
      <c r="G16" s="8"/>
      <c r="H16" s="7">
        <v>1</v>
      </c>
      <c r="I16" s="7">
        <v>2</v>
      </c>
      <c r="J16" s="7"/>
      <c r="K16" s="7">
        <v>77</v>
      </c>
      <c r="L16" s="7"/>
      <c r="M16" s="7">
        <v>64</v>
      </c>
    </row>
    <row r="17" spans="1:13">
      <c r="A17" s="8" t="s">
        <v>194</v>
      </c>
      <c r="B17" s="7" t="s">
        <v>25</v>
      </c>
      <c r="C17" s="8">
        <v>20</v>
      </c>
      <c r="D17" s="7">
        <v>1</v>
      </c>
      <c r="E17" s="7"/>
      <c r="F17" s="7">
        <v>250</v>
      </c>
      <c r="G17" s="8"/>
      <c r="H17" s="7">
        <v>2</v>
      </c>
      <c r="I17" s="7">
        <v>2</v>
      </c>
      <c r="J17" s="7"/>
      <c r="K17" s="7">
        <v>109</v>
      </c>
      <c r="L17" s="7"/>
      <c r="M17" s="7">
        <v>98</v>
      </c>
    </row>
    <row r="18" spans="1:13">
      <c r="A18" s="8" t="s">
        <v>195</v>
      </c>
      <c r="B18" s="7" t="s">
        <v>85</v>
      </c>
      <c r="C18" s="8">
        <v>5</v>
      </c>
      <c r="D18" s="7">
        <v>-1</v>
      </c>
      <c r="E18" s="7"/>
      <c r="F18" s="7">
        <v>250</v>
      </c>
      <c r="G18" s="8"/>
      <c r="H18" s="7">
        <v>0</v>
      </c>
      <c r="I18" s="7">
        <v>2</v>
      </c>
      <c r="J18" s="7"/>
      <c r="K18" s="7">
        <v>-1</v>
      </c>
      <c r="L18" s="7">
        <v>-1</v>
      </c>
      <c r="M18" s="7">
        <v>-1</v>
      </c>
    </row>
    <row r="19" spans="1:13">
      <c r="A19" s="7" t="s">
        <v>196</v>
      </c>
      <c r="B19" s="7" t="s">
        <v>25</v>
      </c>
      <c r="C19" s="7">
        <v>10</v>
      </c>
      <c r="D19" s="7">
        <v>-1</v>
      </c>
      <c r="E19" s="7"/>
      <c r="F19" s="7">
        <v>250</v>
      </c>
      <c r="G19" s="7"/>
      <c r="H19" s="7">
        <v>0</v>
      </c>
      <c r="I19" s="7">
        <v>2</v>
      </c>
      <c r="J19" s="7"/>
      <c r="K19" s="7">
        <v>-1</v>
      </c>
      <c r="L19" s="7">
        <v>-1</v>
      </c>
      <c r="M19" s="7">
        <v>-1</v>
      </c>
    </row>
    <row r="20" spans="1:13">
      <c r="A20" s="7" t="s">
        <v>197</v>
      </c>
      <c r="B20" s="7" t="s">
        <v>25</v>
      </c>
      <c r="C20" s="7">
        <v>30</v>
      </c>
      <c r="D20" s="7">
        <v>-1</v>
      </c>
      <c r="E20" s="7"/>
      <c r="F20" s="7">
        <v>250</v>
      </c>
      <c r="G20" s="7"/>
      <c r="H20" s="7">
        <v>0</v>
      </c>
      <c r="I20" s="7">
        <v>2</v>
      </c>
      <c r="J20" s="7"/>
      <c r="K20" s="7">
        <v>-1</v>
      </c>
      <c r="L20" s="7">
        <v>-1</v>
      </c>
      <c r="M20" s="7">
        <v>-1</v>
      </c>
    </row>
    <row r="21" spans="1:13">
      <c r="A21" s="7" t="s">
        <v>198</v>
      </c>
      <c r="B21" s="7" t="s">
        <v>25</v>
      </c>
      <c r="C21" s="7">
        <v>20</v>
      </c>
      <c r="D21" s="7">
        <v>-1</v>
      </c>
      <c r="E21" s="7"/>
      <c r="F21" s="7">
        <v>250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199</v>
      </c>
      <c r="B22" s="7" t="s">
        <v>25</v>
      </c>
      <c r="C22" s="7">
        <v>40</v>
      </c>
      <c r="D22" s="7">
        <v>-1</v>
      </c>
      <c r="E22" s="7"/>
      <c r="F22" s="7">
        <v>250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200</v>
      </c>
      <c r="B23" s="7" t="s">
        <v>25</v>
      </c>
      <c r="C23" s="7">
        <v>50</v>
      </c>
      <c r="D23" s="7">
        <v>-1</v>
      </c>
      <c r="E23" s="7"/>
      <c r="F23" s="7">
        <v>250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7" t="s">
        <v>201</v>
      </c>
      <c r="B24" s="7" t="s">
        <v>25</v>
      </c>
      <c r="C24" s="7">
        <v>60</v>
      </c>
      <c r="D24" s="7">
        <v>-1</v>
      </c>
      <c r="E24" s="7"/>
      <c r="F24" s="7">
        <v>250</v>
      </c>
      <c r="G24" s="7"/>
      <c r="H24" s="7">
        <v>0</v>
      </c>
      <c r="I24" s="7">
        <v>2</v>
      </c>
      <c r="J24" s="7"/>
      <c r="K24" s="7">
        <v>-1</v>
      </c>
      <c r="L24" s="7">
        <v>-1</v>
      </c>
      <c r="M24" s="7">
        <v>-1</v>
      </c>
    </row>
    <row r="25" spans="1:13">
      <c r="A25" s="7" t="s">
        <v>202</v>
      </c>
      <c r="B25" s="7" t="s">
        <v>25</v>
      </c>
      <c r="C25" s="7">
        <v>70</v>
      </c>
      <c r="D25" s="7">
        <v>-1</v>
      </c>
      <c r="E25" s="7"/>
      <c r="F25" s="7">
        <v>250</v>
      </c>
      <c r="G25" s="7"/>
      <c r="H25" s="7">
        <v>0</v>
      </c>
      <c r="I25" s="7">
        <v>2</v>
      </c>
      <c r="J25" s="7"/>
      <c r="K25" s="7">
        <v>-1</v>
      </c>
      <c r="L25" s="7">
        <v>-1</v>
      </c>
      <c r="M25" s="7">
        <v>-1</v>
      </c>
    </row>
    <row r="26" spans="1:13">
      <c r="A26" s="5" t="s">
        <v>203</v>
      </c>
      <c r="B26" s="4" t="s">
        <v>93</v>
      </c>
      <c r="C26" s="5">
        <v>5</v>
      </c>
      <c r="D26" s="5">
        <v>0</v>
      </c>
      <c r="E26" s="5"/>
      <c r="F26" s="4">
        <v>150</v>
      </c>
      <c r="G26" s="5"/>
      <c r="H26" s="5">
        <v>1</v>
      </c>
      <c r="I26" s="5">
        <v>3</v>
      </c>
      <c r="J26" s="5"/>
      <c r="K26" s="5">
        <v>429</v>
      </c>
      <c r="L26" s="5"/>
      <c r="M26" s="5">
        <v>421</v>
      </c>
    </row>
    <row r="27" spans="1:13">
      <c r="A27" s="5" t="s">
        <v>204</v>
      </c>
      <c r="B27" s="4" t="s">
        <v>93</v>
      </c>
      <c r="C27" s="5">
        <v>10</v>
      </c>
      <c r="D27" s="5">
        <v>0</v>
      </c>
      <c r="E27" s="5"/>
      <c r="F27" s="4">
        <v>150</v>
      </c>
      <c r="G27" s="5"/>
      <c r="H27" s="5">
        <v>1</v>
      </c>
      <c r="I27" s="5">
        <v>3</v>
      </c>
      <c r="J27" s="5"/>
      <c r="K27" s="5">
        <v>237</v>
      </c>
      <c r="L27" s="5"/>
      <c r="M27" s="5">
        <v>204</v>
      </c>
    </row>
    <row r="28" spans="1:13">
      <c r="A28" s="5" t="s">
        <v>205</v>
      </c>
      <c r="B28" s="4" t="s">
        <v>93</v>
      </c>
      <c r="C28" s="5">
        <v>20</v>
      </c>
      <c r="D28" s="5">
        <v>0</v>
      </c>
      <c r="E28" s="5"/>
      <c r="F28" s="4">
        <v>150</v>
      </c>
      <c r="G28" s="5"/>
      <c r="H28" s="5">
        <v>1</v>
      </c>
      <c r="I28" s="5">
        <v>3</v>
      </c>
      <c r="J28" s="5"/>
      <c r="K28" s="5">
        <v>109</v>
      </c>
      <c r="L28" s="5"/>
      <c r="M28" s="5">
        <v>104</v>
      </c>
    </row>
    <row r="29" spans="1:13">
      <c r="A29" s="5" t="s">
        <v>206</v>
      </c>
      <c r="B29" s="4" t="s">
        <v>93</v>
      </c>
      <c r="C29" s="5">
        <v>40</v>
      </c>
      <c r="D29" s="5">
        <v>1</v>
      </c>
      <c r="E29" s="5"/>
      <c r="F29" s="4">
        <v>150</v>
      </c>
      <c r="G29" s="5"/>
      <c r="H29" s="5">
        <v>1</v>
      </c>
      <c r="I29" s="5">
        <v>3</v>
      </c>
      <c r="J29" s="5"/>
      <c r="K29" s="5">
        <v>78</v>
      </c>
      <c r="L29" s="5"/>
      <c r="M29" s="5">
        <v>50</v>
      </c>
    </row>
    <row r="30" spans="1:13">
      <c r="A30" s="5" t="s">
        <v>207</v>
      </c>
      <c r="B30" s="4" t="s">
        <v>93</v>
      </c>
      <c r="C30" s="5">
        <v>30</v>
      </c>
      <c r="D30" s="5">
        <v>1</v>
      </c>
      <c r="E30" s="5"/>
      <c r="F30" s="4">
        <v>150</v>
      </c>
      <c r="G30" s="11"/>
      <c r="H30" s="5">
        <v>1</v>
      </c>
      <c r="I30" s="5">
        <v>3</v>
      </c>
      <c r="J30" s="5"/>
      <c r="K30" s="5">
        <v>77</v>
      </c>
      <c r="L30" s="5"/>
      <c r="M30" s="5">
        <v>62</v>
      </c>
    </row>
    <row r="31" spans="1:13">
      <c r="A31" s="5" t="s">
        <v>208</v>
      </c>
      <c r="B31" s="4" t="s">
        <v>93</v>
      </c>
      <c r="C31" s="5">
        <v>5</v>
      </c>
      <c r="D31" s="5">
        <v>0</v>
      </c>
      <c r="E31" s="5"/>
      <c r="F31" s="4">
        <v>150</v>
      </c>
      <c r="G31" s="5"/>
      <c r="H31" s="5">
        <v>2</v>
      </c>
      <c r="I31" s="5">
        <v>3</v>
      </c>
      <c r="J31" s="5"/>
      <c r="K31" s="5">
        <v>428</v>
      </c>
      <c r="L31" s="5"/>
      <c r="M31" s="5">
        <v>369</v>
      </c>
    </row>
    <row r="32" spans="1:13">
      <c r="A32" s="5" t="s">
        <v>209</v>
      </c>
      <c r="B32" s="4" t="s">
        <v>93</v>
      </c>
      <c r="C32" s="5">
        <v>5</v>
      </c>
      <c r="D32" s="5">
        <v>-1</v>
      </c>
      <c r="E32" s="5"/>
      <c r="F32" s="4">
        <v>150</v>
      </c>
      <c r="G32" s="5"/>
      <c r="H32" s="5">
        <v>0</v>
      </c>
      <c r="I32" s="5">
        <v>3</v>
      </c>
      <c r="J32" s="5"/>
      <c r="K32" s="5">
        <v>428</v>
      </c>
      <c r="L32" s="5"/>
      <c r="M32" s="5">
        <v>404</v>
      </c>
    </row>
    <row r="33" spans="1:13">
      <c r="A33" s="5" t="s">
        <v>210</v>
      </c>
      <c r="B33" s="4" t="s">
        <v>93</v>
      </c>
      <c r="C33" s="5">
        <v>10</v>
      </c>
      <c r="D33" s="5">
        <v>-1</v>
      </c>
      <c r="E33" s="5"/>
      <c r="F33" s="4">
        <v>150</v>
      </c>
      <c r="G33" s="5"/>
      <c r="H33" s="5">
        <v>0</v>
      </c>
      <c r="I33" s="5">
        <v>3</v>
      </c>
      <c r="J33" s="5"/>
      <c r="K33" s="5">
        <v>-1</v>
      </c>
      <c r="L33" s="5">
        <v>-1</v>
      </c>
      <c r="M33" s="5">
        <v>-1</v>
      </c>
    </row>
    <row r="34" spans="1:13">
      <c r="A34" s="5" t="s">
        <v>211</v>
      </c>
      <c r="B34" s="4" t="s">
        <v>93</v>
      </c>
      <c r="C34" s="5">
        <v>20</v>
      </c>
      <c r="D34" s="5">
        <v>-1</v>
      </c>
      <c r="E34" s="5"/>
      <c r="F34" s="4">
        <v>150</v>
      </c>
      <c r="G34" s="5"/>
      <c r="H34" s="5">
        <v>0</v>
      </c>
      <c r="I34" s="5">
        <v>3</v>
      </c>
      <c r="J34" s="5"/>
      <c r="K34" s="5">
        <v>-1</v>
      </c>
      <c r="L34" s="5">
        <v>-1</v>
      </c>
      <c r="M34" s="5">
        <v>-1</v>
      </c>
    </row>
    <row r="35" spans="1:13">
      <c r="A35" s="5" t="s">
        <v>212</v>
      </c>
      <c r="B35" s="4" t="s">
        <v>93</v>
      </c>
      <c r="C35" s="5">
        <v>30</v>
      </c>
      <c r="D35" s="5">
        <v>-1</v>
      </c>
      <c r="E35" s="5"/>
      <c r="F35" s="4">
        <v>150</v>
      </c>
      <c r="G35" s="5"/>
      <c r="H35" s="5">
        <v>0</v>
      </c>
      <c r="I35" s="5">
        <v>3</v>
      </c>
      <c r="J35" s="5"/>
      <c r="K35" s="5">
        <v>-1</v>
      </c>
      <c r="L35" s="5">
        <v>-1</v>
      </c>
      <c r="M35" s="5">
        <v>-1</v>
      </c>
    </row>
    <row r="36" spans="1:13">
      <c r="A36" s="5" t="s">
        <v>213</v>
      </c>
      <c r="B36" s="4" t="s">
        <v>93</v>
      </c>
      <c r="C36" s="5">
        <v>40</v>
      </c>
      <c r="D36" s="5">
        <v>-1</v>
      </c>
      <c r="E36" s="5"/>
      <c r="F36" s="4">
        <v>150</v>
      </c>
      <c r="G36" s="5"/>
      <c r="H36" s="5">
        <v>0</v>
      </c>
      <c r="I36" s="5">
        <v>3</v>
      </c>
      <c r="J36" s="5"/>
      <c r="K36" s="5">
        <v>-1</v>
      </c>
      <c r="L36" s="5">
        <v>-1</v>
      </c>
      <c r="M36" s="5">
        <v>-1</v>
      </c>
    </row>
    <row r="37" spans="1:13">
      <c r="A37" s="5" t="s">
        <v>214</v>
      </c>
      <c r="B37" s="4" t="s">
        <v>93</v>
      </c>
      <c r="C37" s="5">
        <v>50</v>
      </c>
      <c r="D37" s="5">
        <v>-1</v>
      </c>
      <c r="E37" s="5"/>
      <c r="F37" s="4">
        <v>150</v>
      </c>
      <c r="G37" s="5"/>
      <c r="H37" s="5">
        <v>0</v>
      </c>
      <c r="I37" s="5">
        <v>3</v>
      </c>
      <c r="J37" s="5"/>
      <c r="K37" s="5">
        <v>-1</v>
      </c>
      <c r="L37" s="5">
        <v>-1</v>
      </c>
      <c r="M37" s="5">
        <v>-1</v>
      </c>
    </row>
    <row r="38" spans="1:13">
      <c r="A38" s="7" t="s">
        <v>215</v>
      </c>
      <c r="B38" s="7" t="s">
        <v>102</v>
      </c>
      <c r="C38" s="7">
        <v>10</v>
      </c>
      <c r="D38" s="7">
        <v>0</v>
      </c>
      <c r="E38" s="7"/>
      <c r="F38" s="7">
        <v>250</v>
      </c>
      <c r="G38" s="7"/>
      <c r="H38" s="7">
        <v>1</v>
      </c>
      <c r="I38" s="7">
        <v>4</v>
      </c>
      <c r="J38" s="7"/>
      <c r="K38" s="7">
        <v>237</v>
      </c>
      <c r="L38" s="7"/>
      <c r="M38" s="7">
        <v>201</v>
      </c>
    </row>
    <row r="39" spans="1:13">
      <c r="A39" s="7" t="s">
        <v>216</v>
      </c>
      <c r="B39" s="7" t="s">
        <v>102</v>
      </c>
      <c r="C39" s="7">
        <v>5</v>
      </c>
      <c r="D39" s="7">
        <v>0</v>
      </c>
      <c r="E39" s="7"/>
      <c r="F39" s="7">
        <v>250</v>
      </c>
      <c r="G39" s="7"/>
      <c r="H39" s="7">
        <v>1</v>
      </c>
      <c r="I39" s="13">
        <v>4</v>
      </c>
      <c r="J39" s="7"/>
      <c r="K39" s="7">
        <v>428</v>
      </c>
      <c r="L39" s="7"/>
      <c r="M39" s="7">
        <v>404</v>
      </c>
    </row>
    <row r="40" spans="1:13">
      <c r="A40" s="7" t="s">
        <v>217</v>
      </c>
      <c r="B40" s="7" t="s">
        <v>102</v>
      </c>
      <c r="C40" s="7">
        <v>40</v>
      </c>
      <c r="D40" s="7">
        <v>1</v>
      </c>
      <c r="E40" s="7"/>
      <c r="F40" s="7">
        <v>250</v>
      </c>
      <c r="G40" s="7"/>
      <c r="H40" s="7">
        <v>1</v>
      </c>
      <c r="I40" s="7">
        <v>4</v>
      </c>
      <c r="J40" s="7"/>
      <c r="K40" s="7">
        <v>76</v>
      </c>
      <c r="L40" s="7"/>
      <c r="M40" s="7">
        <v>42</v>
      </c>
    </row>
    <row r="41" spans="1:13">
      <c r="A41" s="7" t="s">
        <v>218</v>
      </c>
      <c r="B41" s="7" t="s">
        <v>102</v>
      </c>
      <c r="C41" s="7">
        <v>20</v>
      </c>
      <c r="D41" s="7">
        <v>0</v>
      </c>
      <c r="E41" s="7"/>
      <c r="F41" s="7">
        <v>250</v>
      </c>
      <c r="G41" s="7"/>
      <c r="H41" s="7">
        <v>1</v>
      </c>
      <c r="I41" s="13">
        <v>4</v>
      </c>
      <c r="J41" s="7"/>
      <c r="K41" s="7">
        <v>109</v>
      </c>
      <c r="L41" s="7"/>
      <c r="M41" s="7">
        <v>103</v>
      </c>
    </row>
    <row r="42" spans="1:13">
      <c r="A42" s="7" t="s">
        <v>219</v>
      </c>
      <c r="B42" s="7" t="s">
        <v>102</v>
      </c>
      <c r="C42" s="7">
        <v>30</v>
      </c>
      <c r="D42" s="7">
        <v>1</v>
      </c>
      <c r="E42" s="7"/>
      <c r="F42" s="7">
        <v>250</v>
      </c>
      <c r="G42" s="7"/>
      <c r="H42" s="7">
        <v>1</v>
      </c>
      <c r="I42" s="7">
        <v>4</v>
      </c>
      <c r="J42" s="7"/>
      <c r="K42" s="7">
        <v>76</v>
      </c>
      <c r="L42" s="7"/>
      <c r="M42" s="7">
        <v>58</v>
      </c>
    </row>
    <row r="43" spans="1:13">
      <c r="A43" s="7" t="s">
        <v>220</v>
      </c>
      <c r="B43" s="7" t="s">
        <v>102</v>
      </c>
      <c r="C43" s="7">
        <v>10</v>
      </c>
      <c r="D43" s="7">
        <v>0</v>
      </c>
      <c r="E43" s="7"/>
      <c r="F43" s="7">
        <v>250</v>
      </c>
      <c r="G43" s="7"/>
      <c r="H43" s="7">
        <v>2</v>
      </c>
      <c r="I43" s="13">
        <v>4</v>
      </c>
      <c r="J43" s="7"/>
      <c r="K43" s="7">
        <v>237</v>
      </c>
      <c r="L43" s="7"/>
      <c r="M43" s="7">
        <v>202</v>
      </c>
    </row>
    <row r="44" spans="1:13">
      <c r="A44" s="7" t="s">
        <v>221</v>
      </c>
      <c r="B44" s="7" t="s">
        <v>102</v>
      </c>
      <c r="C44" s="7">
        <v>50</v>
      </c>
      <c r="D44" s="7">
        <v>-1</v>
      </c>
      <c r="E44" s="7"/>
      <c r="F44" s="7">
        <v>250</v>
      </c>
      <c r="G44" s="7"/>
      <c r="H44" s="7">
        <v>0</v>
      </c>
      <c r="I44" s="7">
        <v>4</v>
      </c>
      <c r="J44" s="7"/>
      <c r="K44" s="7">
        <v>-1</v>
      </c>
      <c r="L44" s="7">
        <v>-1</v>
      </c>
      <c r="M44" s="7">
        <v>-1</v>
      </c>
    </row>
    <row r="45" spans="1:13">
      <c r="A45" s="7" t="s">
        <v>222</v>
      </c>
      <c r="B45" s="7" t="s">
        <v>102</v>
      </c>
      <c r="C45" s="7">
        <v>40</v>
      </c>
      <c r="D45" s="7">
        <v>-1</v>
      </c>
      <c r="E45" s="7"/>
      <c r="F45" s="7">
        <v>250</v>
      </c>
      <c r="G45" s="7"/>
      <c r="H45" s="7">
        <v>0</v>
      </c>
      <c r="I45" s="13">
        <v>4</v>
      </c>
      <c r="J45" s="7"/>
      <c r="K45" s="7">
        <v>-1</v>
      </c>
      <c r="L45" s="7">
        <v>-1</v>
      </c>
      <c r="M45" s="7">
        <v>-1</v>
      </c>
    </row>
    <row r="46" spans="1:13">
      <c r="A46" s="7" t="s">
        <v>223</v>
      </c>
      <c r="B46" s="7" t="s">
        <v>102</v>
      </c>
      <c r="C46" s="7">
        <v>30</v>
      </c>
      <c r="D46" s="7">
        <v>-1</v>
      </c>
      <c r="E46" s="7"/>
      <c r="F46" s="7">
        <v>250</v>
      </c>
      <c r="G46" s="7"/>
      <c r="H46" s="7">
        <v>0</v>
      </c>
      <c r="I46" s="7">
        <v>4</v>
      </c>
      <c r="J46" s="7"/>
      <c r="K46" s="7">
        <v>-1</v>
      </c>
      <c r="L46" s="7">
        <v>-1</v>
      </c>
      <c r="M46" s="7">
        <v>-1</v>
      </c>
    </row>
    <row r="47" spans="1:13">
      <c r="A47" s="7" t="s">
        <v>224</v>
      </c>
      <c r="B47" s="7" t="s">
        <v>102</v>
      </c>
      <c r="C47" s="7">
        <v>20</v>
      </c>
      <c r="D47" s="7">
        <v>-1</v>
      </c>
      <c r="E47" s="7"/>
      <c r="F47" s="7">
        <v>250</v>
      </c>
      <c r="G47" s="7"/>
      <c r="H47" s="7">
        <v>0</v>
      </c>
      <c r="I47" s="13">
        <v>4</v>
      </c>
      <c r="J47" s="7"/>
      <c r="K47" s="7">
        <v>-1</v>
      </c>
      <c r="L47" s="7">
        <v>-1</v>
      </c>
      <c r="M47" s="7">
        <v>-1</v>
      </c>
    </row>
    <row r="48" spans="1:13">
      <c r="A48" s="7" t="s">
        <v>225</v>
      </c>
      <c r="B48" s="7" t="s">
        <v>102</v>
      </c>
      <c r="C48" s="7">
        <v>10</v>
      </c>
      <c r="D48" s="7">
        <v>-1</v>
      </c>
      <c r="E48" s="7"/>
      <c r="F48" s="7">
        <v>250</v>
      </c>
      <c r="G48" s="7"/>
      <c r="H48" s="7">
        <v>0</v>
      </c>
      <c r="I48" s="7">
        <v>4</v>
      </c>
      <c r="J48" s="7"/>
      <c r="K48" s="7">
        <v>-1</v>
      </c>
      <c r="L48" s="7">
        <v>-1</v>
      </c>
      <c r="M48" s="7">
        <v>-1</v>
      </c>
    </row>
    <row r="49" spans="1:13">
      <c r="A49" s="7" t="s">
        <v>226</v>
      </c>
      <c r="B49" s="7" t="s">
        <v>102</v>
      </c>
      <c r="C49" s="7">
        <v>5</v>
      </c>
      <c r="D49" s="7">
        <v>-1</v>
      </c>
      <c r="E49" s="7"/>
      <c r="F49" s="7">
        <v>250</v>
      </c>
      <c r="G49" s="7"/>
      <c r="H49" s="7">
        <v>0</v>
      </c>
      <c r="I49" s="7">
        <v>4</v>
      </c>
      <c r="J49" s="7"/>
      <c r="K49" s="7">
        <v>-1</v>
      </c>
      <c r="L49" s="7">
        <v>-1</v>
      </c>
      <c r="M49" s="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2"/>
  <sheetViews>
    <sheetView topLeftCell="A26" workbookViewId="0">
      <selection activeCell="G26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3.62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227</v>
      </c>
      <c r="B2" s="10" t="s">
        <v>68</v>
      </c>
      <c r="C2" s="10">
        <v>10</v>
      </c>
      <c r="D2" s="10">
        <v>0</v>
      </c>
      <c r="E2" s="10"/>
      <c r="F2" s="5">
        <v>150</v>
      </c>
      <c r="G2" s="5"/>
      <c r="H2" s="5">
        <v>1</v>
      </c>
      <c r="I2" s="5">
        <v>1</v>
      </c>
      <c r="J2" s="5">
        <f>MAX(I:I)</f>
        <v>4</v>
      </c>
      <c r="K2" s="5">
        <v>237</v>
      </c>
      <c r="L2" s="5"/>
      <c r="M2" s="5">
        <v>207</v>
      </c>
    </row>
    <row r="3" spans="1:13">
      <c r="A3" s="9" t="s">
        <v>228</v>
      </c>
      <c r="B3" s="10" t="s">
        <v>68</v>
      </c>
      <c r="C3" s="10">
        <v>20</v>
      </c>
      <c r="D3" s="10">
        <v>0</v>
      </c>
      <c r="E3" s="10"/>
      <c r="F3" s="5">
        <v>150</v>
      </c>
      <c r="G3" s="5"/>
      <c r="H3" s="5">
        <v>1</v>
      </c>
      <c r="I3" s="5">
        <v>1</v>
      </c>
      <c r="J3" s="5"/>
      <c r="K3" s="5">
        <v>109</v>
      </c>
      <c r="L3" s="5"/>
      <c r="M3" s="5">
        <v>105</v>
      </c>
    </row>
    <row r="4" spans="1:13">
      <c r="A4" s="9" t="s">
        <v>229</v>
      </c>
      <c r="B4" s="10" t="s">
        <v>68</v>
      </c>
      <c r="C4" s="10">
        <v>5</v>
      </c>
      <c r="D4" s="10">
        <v>0</v>
      </c>
      <c r="E4" s="10"/>
      <c r="F4" s="5">
        <v>150</v>
      </c>
      <c r="G4" s="5"/>
      <c r="H4" s="5">
        <v>1</v>
      </c>
      <c r="I4" s="5">
        <v>1</v>
      </c>
      <c r="J4" s="5"/>
      <c r="K4" s="5">
        <v>429</v>
      </c>
      <c r="L4" s="5"/>
      <c r="M4" s="5">
        <v>399</v>
      </c>
    </row>
    <row r="5" spans="1:13">
      <c r="A5" s="5" t="s">
        <v>230</v>
      </c>
      <c r="B5" s="10" t="s">
        <v>68</v>
      </c>
      <c r="C5" s="5">
        <v>40</v>
      </c>
      <c r="D5" s="5">
        <v>0</v>
      </c>
      <c r="E5" s="5"/>
      <c r="F5" s="5">
        <v>150</v>
      </c>
      <c r="G5" s="5"/>
      <c r="H5" s="5">
        <v>1</v>
      </c>
      <c r="I5" s="5">
        <v>1</v>
      </c>
      <c r="J5" s="5"/>
      <c r="K5" s="5">
        <v>78</v>
      </c>
      <c r="L5" s="5"/>
      <c r="M5" s="5">
        <v>55</v>
      </c>
    </row>
    <row r="6" spans="1:13">
      <c r="A6" s="5" t="s">
        <v>231</v>
      </c>
      <c r="B6" s="10" t="s">
        <v>68</v>
      </c>
      <c r="C6" s="5">
        <v>30</v>
      </c>
      <c r="D6" s="5">
        <v>0</v>
      </c>
      <c r="E6" s="5"/>
      <c r="F6" s="5">
        <v>150</v>
      </c>
      <c r="G6" s="5"/>
      <c r="H6" s="5">
        <v>1</v>
      </c>
      <c r="I6" s="5">
        <v>1</v>
      </c>
      <c r="J6" s="5"/>
      <c r="K6" s="5">
        <v>77</v>
      </c>
      <c r="L6" s="5"/>
      <c r="M6" s="5">
        <v>72</v>
      </c>
    </row>
    <row r="7" spans="1:13">
      <c r="A7" s="5" t="s">
        <v>232</v>
      </c>
      <c r="B7" s="10" t="s">
        <v>68</v>
      </c>
      <c r="C7" s="5">
        <v>10</v>
      </c>
      <c r="D7" s="5">
        <v>1</v>
      </c>
      <c r="E7" s="5"/>
      <c r="F7" s="5">
        <v>150</v>
      </c>
      <c r="G7" s="5"/>
      <c r="H7" s="5">
        <v>2</v>
      </c>
      <c r="I7" s="5">
        <v>1</v>
      </c>
      <c r="J7" s="5"/>
      <c r="K7" s="5">
        <v>236</v>
      </c>
      <c r="L7" s="5"/>
      <c r="M7" s="5">
        <v>191</v>
      </c>
    </row>
    <row r="8" spans="1:13">
      <c r="A8" s="5" t="s">
        <v>233</v>
      </c>
      <c r="B8" s="10" t="s">
        <v>68</v>
      </c>
      <c r="C8" s="5">
        <v>5</v>
      </c>
      <c r="D8" s="5">
        <v>-1</v>
      </c>
      <c r="E8" s="5"/>
      <c r="F8" s="5">
        <v>150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234</v>
      </c>
      <c r="B9" s="10" t="s">
        <v>68</v>
      </c>
      <c r="C9" s="5">
        <v>10</v>
      </c>
      <c r="D9" s="5">
        <v>-1</v>
      </c>
      <c r="E9" s="5"/>
      <c r="F9" s="5">
        <v>150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235</v>
      </c>
      <c r="B10" s="10" t="s">
        <v>68</v>
      </c>
      <c r="C10" s="5">
        <v>20</v>
      </c>
      <c r="D10" s="5">
        <v>-1</v>
      </c>
      <c r="E10" s="5"/>
      <c r="F10" s="5">
        <v>150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236</v>
      </c>
      <c r="B11" s="10" t="s">
        <v>68</v>
      </c>
      <c r="C11" s="5">
        <v>30</v>
      </c>
      <c r="D11" s="5">
        <v>-1</v>
      </c>
      <c r="E11" s="5"/>
      <c r="F11" s="5">
        <v>150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4" t="s">
        <v>237</v>
      </c>
      <c r="B12" s="10" t="s">
        <v>68</v>
      </c>
      <c r="C12" s="4">
        <v>40</v>
      </c>
      <c r="D12" s="5">
        <v>-1</v>
      </c>
      <c r="E12" s="5"/>
      <c r="F12" s="5">
        <v>150</v>
      </c>
      <c r="G12" s="4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5" t="s">
        <v>238</v>
      </c>
      <c r="B13" s="10" t="s">
        <v>68</v>
      </c>
      <c r="C13" s="5">
        <v>50</v>
      </c>
      <c r="D13" s="5">
        <v>-1</v>
      </c>
      <c r="E13" s="5"/>
      <c r="F13" s="5">
        <v>150</v>
      </c>
      <c r="G13" s="5"/>
      <c r="H13" s="5">
        <v>0</v>
      </c>
      <c r="I13" s="5">
        <v>1</v>
      </c>
      <c r="J13" s="5"/>
      <c r="K13" s="5">
        <v>-1</v>
      </c>
      <c r="L13" s="5">
        <v>-1</v>
      </c>
      <c r="M13" s="5">
        <v>-1</v>
      </c>
    </row>
    <row r="14" spans="1:13">
      <c r="A14" s="5" t="s">
        <v>239</v>
      </c>
      <c r="B14" s="10" t="s">
        <v>68</v>
      </c>
      <c r="C14" s="5">
        <v>60</v>
      </c>
      <c r="D14" s="5">
        <v>-1</v>
      </c>
      <c r="E14" s="5"/>
      <c r="F14" s="5">
        <v>150</v>
      </c>
      <c r="G14" s="5"/>
      <c r="H14" s="5">
        <v>0</v>
      </c>
      <c r="I14" s="5">
        <v>1</v>
      </c>
      <c r="J14" s="5"/>
      <c r="K14" s="5">
        <v>-1</v>
      </c>
      <c r="L14" s="5">
        <v>-1</v>
      </c>
      <c r="M14" s="5">
        <v>-1</v>
      </c>
    </row>
    <row r="15" spans="1:13">
      <c r="A15" s="8" t="s">
        <v>240</v>
      </c>
      <c r="B15" s="7" t="s">
        <v>241</v>
      </c>
      <c r="C15" s="8">
        <v>10</v>
      </c>
      <c r="D15" s="7">
        <v>0</v>
      </c>
      <c r="E15" s="7"/>
      <c r="F15" s="7">
        <v>150</v>
      </c>
      <c r="G15" s="8"/>
      <c r="H15" s="7">
        <v>1</v>
      </c>
      <c r="I15" s="7">
        <v>2</v>
      </c>
      <c r="J15" s="7"/>
      <c r="K15" s="7">
        <v>236</v>
      </c>
      <c r="L15" s="7"/>
      <c r="M15" s="7">
        <v>209</v>
      </c>
    </row>
    <row r="16" spans="1:13">
      <c r="A16" s="8" t="s">
        <v>242</v>
      </c>
      <c r="B16" s="7" t="s">
        <v>241</v>
      </c>
      <c r="C16" s="8">
        <v>40</v>
      </c>
      <c r="D16" s="7">
        <v>1</v>
      </c>
      <c r="E16" s="7"/>
      <c r="F16" s="7">
        <v>150</v>
      </c>
      <c r="G16" s="8"/>
      <c r="H16" s="7">
        <v>1</v>
      </c>
      <c r="I16" s="7">
        <v>2</v>
      </c>
      <c r="J16" s="7"/>
      <c r="K16" s="7">
        <v>78</v>
      </c>
      <c r="L16" s="7"/>
      <c r="M16" s="7">
        <v>45</v>
      </c>
    </row>
    <row r="17" spans="1:13">
      <c r="A17" s="8" t="s">
        <v>243</v>
      </c>
      <c r="B17" s="7" t="s">
        <v>241</v>
      </c>
      <c r="C17" s="8">
        <v>5</v>
      </c>
      <c r="D17" s="7">
        <v>0</v>
      </c>
      <c r="E17" s="7"/>
      <c r="F17" s="7">
        <v>150</v>
      </c>
      <c r="G17" s="8"/>
      <c r="H17" s="7">
        <v>1</v>
      </c>
      <c r="I17" s="7">
        <v>2</v>
      </c>
      <c r="J17" s="7"/>
      <c r="K17" s="7">
        <v>428</v>
      </c>
      <c r="L17" s="7"/>
      <c r="M17" s="7">
        <v>400</v>
      </c>
    </row>
    <row r="18" spans="1:13">
      <c r="A18" s="8" t="s">
        <v>244</v>
      </c>
      <c r="B18" s="7" t="s">
        <v>241</v>
      </c>
      <c r="C18" s="8">
        <v>20</v>
      </c>
      <c r="D18" s="7">
        <v>0</v>
      </c>
      <c r="E18" s="7"/>
      <c r="F18" s="7">
        <v>150</v>
      </c>
      <c r="G18" s="8"/>
      <c r="H18" s="7">
        <v>1</v>
      </c>
      <c r="I18" s="7">
        <v>2</v>
      </c>
      <c r="J18" s="7"/>
      <c r="K18" s="7">
        <v>109</v>
      </c>
      <c r="L18" s="7"/>
      <c r="M18" s="7">
        <v>107</v>
      </c>
    </row>
    <row r="19" spans="1:13">
      <c r="A19" s="8" t="s">
        <v>245</v>
      </c>
      <c r="B19" s="7" t="s">
        <v>241</v>
      </c>
      <c r="C19" s="8">
        <v>30</v>
      </c>
      <c r="D19" s="7">
        <v>1</v>
      </c>
      <c r="E19" s="7">
        <v>2</v>
      </c>
      <c r="F19" s="7">
        <v>150</v>
      </c>
      <c r="G19" s="8"/>
      <c r="H19" s="7">
        <v>1</v>
      </c>
      <c r="I19" s="7">
        <v>2</v>
      </c>
      <c r="J19" s="7"/>
      <c r="K19" s="7">
        <v>78</v>
      </c>
      <c r="L19" s="7"/>
      <c r="M19" s="7">
        <v>57</v>
      </c>
    </row>
    <row r="20" spans="1:13">
      <c r="A20" s="8" t="s">
        <v>246</v>
      </c>
      <c r="B20" s="7" t="s">
        <v>241</v>
      </c>
      <c r="C20" s="8">
        <v>10</v>
      </c>
      <c r="D20" s="7">
        <v>0</v>
      </c>
      <c r="E20" s="7"/>
      <c r="F20" s="7">
        <v>150</v>
      </c>
      <c r="G20" s="8"/>
      <c r="H20" s="7">
        <v>2</v>
      </c>
      <c r="I20" s="7">
        <v>2</v>
      </c>
      <c r="J20" s="7"/>
      <c r="K20" s="7">
        <v>237</v>
      </c>
      <c r="L20" s="7"/>
      <c r="M20" s="7">
        <v>207</v>
      </c>
    </row>
    <row r="21" spans="1:13">
      <c r="A21" s="8" t="s">
        <v>247</v>
      </c>
      <c r="B21" s="7" t="s">
        <v>241</v>
      </c>
      <c r="C21" s="8">
        <v>5</v>
      </c>
      <c r="D21" s="7">
        <v>-1</v>
      </c>
      <c r="E21" s="7"/>
      <c r="F21" s="7">
        <v>150</v>
      </c>
      <c r="G21" s="8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248</v>
      </c>
      <c r="B22" s="7" t="s">
        <v>241</v>
      </c>
      <c r="C22" s="7">
        <v>10</v>
      </c>
      <c r="D22" s="7">
        <v>-1</v>
      </c>
      <c r="E22" s="7"/>
      <c r="F22" s="7">
        <v>150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249</v>
      </c>
      <c r="B23" s="7" t="s">
        <v>241</v>
      </c>
      <c r="C23" s="7">
        <v>20</v>
      </c>
      <c r="D23" s="7">
        <v>-1</v>
      </c>
      <c r="E23" s="7"/>
      <c r="F23" s="7">
        <v>150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7" t="s">
        <v>250</v>
      </c>
      <c r="B24" s="7" t="s">
        <v>241</v>
      </c>
      <c r="C24" s="7">
        <v>30</v>
      </c>
      <c r="D24" s="7">
        <v>-1</v>
      </c>
      <c r="E24" s="7"/>
      <c r="F24" s="7">
        <v>150</v>
      </c>
      <c r="G24" s="7"/>
      <c r="H24" s="7">
        <v>0</v>
      </c>
      <c r="I24" s="7">
        <v>2</v>
      </c>
      <c r="J24" s="7"/>
      <c r="K24" s="7">
        <v>-1</v>
      </c>
      <c r="L24" s="7">
        <v>-1</v>
      </c>
      <c r="M24" s="7">
        <v>-1</v>
      </c>
    </row>
    <row r="25" spans="1:13">
      <c r="A25" s="7" t="s">
        <v>251</v>
      </c>
      <c r="B25" s="7" t="s">
        <v>241</v>
      </c>
      <c r="C25" s="7">
        <v>40</v>
      </c>
      <c r="D25" s="7">
        <v>-1</v>
      </c>
      <c r="E25" s="7"/>
      <c r="F25" s="7">
        <v>150</v>
      </c>
      <c r="G25" s="7"/>
      <c r="H25" s="7">
        <v>0</v>
      </c>
      <c r="I25" s="7">
        <v>2</v>
      </c>
      <c r="J25" s="7"/>
      <c r="K25" s="7">
        <v>-1</v>
      </c>
      <c r="L25" s="7">
        <v>-1</v>
      </c>
      <c r="M25" s="7">
        <v>-1</v>
      </c>
    </row>
    <row r="26" spans="1:13">
      <c r="A26" s="7" t="s">
        <v>252</v>
      </c>
      <c r="B26" s="7" t="s">
        <v>241</v>
      </c>
      <c r="C26" s="7">
        <v>50</v>
      </c>
      <c r="D26" s="7">
        <v>-1</v>
      </c>
      <c r="E26" s="7"/>
      <c r="F26" s="7">
        <v>150</v>
      </c>
      <c r="G26" s="7"/>
      <c r="H26" s="7">
        <v>0</v>
      </c>
      <c r="I26" s="7">
        <v>2</v>
      </c>
      <c r="J26" s="7"/>
      <c r="K26" s="7">
        <v>-1</v>
      </c>
      <c r="L26" s="7">
        <v>-1</v>
      </c>
      <c r="M26" s="7">
        <v>-1</v>
      </c>
    </row>
    <row r="27" spans="1:13">
      <c r="A27" s="7" t="s">
        <v>253</v>
      </c>
      <c r="B27" s="7" t="s">
        <v>241</v>
      </c>
      <c r="C27" s="7">
        <v>60</v>
      </c>
      <c r="D27" s="7">
        <v>-1</v>
      </c>
      <c r="E27" s="7"/>
      <c r="F27" s="7">
        <v>150</v>
      </c>
      <c r="G27" s="7"/>
      <c r="H27" s="7">
        <v>0</v>
      </c>
      <c r="I27" s="7">
        <v>2</v>
      </c>
      <c r="J27" s="7"/>
      <c r="K27" s="7">
        <v>-1</v>
      </c>
      <c r="L27" s="7">
        <v>-1</v>
      </c>
      <c r="M27" s="7">
        <v>-1</v>
      </c>
    </row>
    <row r="28" spans="1:13">
      <c r="A28" s="7" t="s">
        <v>254</v>
      </c>
      <c r="B28" s="7" t="s">
        <v>241</v>
      </c>
      <c r="C28" s="7">
        <v>70</v>
      </c>
      <c r="D28" s="7">
        <v>-1</v>
      </c>
      <c r="E28" s="7"/>
      <c r="F28" s="7">
        <v>150</v>
      </c>
      <c r="G28" s="7"/>
      <c r="H28" s="7">
        <v>0</v>
      </c>
      <c r="I28" s="7">
        <v>2</v>
      </c>
      <c r="J28" s="7"/>
      <c r="K28" s="7">
        <v>-1</v>
      </c>
      <c r="L28" s="7">
        <v>-1</v>
      </c>
      <c r="M28" s="7">
        <v>-1</v>
      </c>
    </row>
    <row r="29" spans="1:13">
      <c r="A29" s="5" t="s">
        <v>255</v>
      </c>
      <c r="B29" s="4" t="s">
        <v>10</v>
      </c>
      <c r="C29" s="5">
        <v>10</v>
      </c>
      <c r="D29" s="5">
        <v>1</v>
      </c>
      <c r="E29" s="5"/>
      <c r="F29" s="4">
        <v>250</v>
      </c>
      <c r="G29" s="5"/>
      <c r="H29" s="5">
        <v>1</v>
      </c>
      <c r="I29" s="5">
        <v>3</v>
      </c>
      <c r="J29" s="5"/>
      <c r="K29" s="5">
        <v>236</v>
      </c>
      <c r="L29" s="5"/>
      <c r="M29" s="5">
        <v>197</v>
      </c>
    </row>
    <row r="30" spans="1:13">
      <c r="A30" s="5" t="s">
        <v>256</v>
      </c>
      <c r="B30" s="4" t="s">
        <v>10</v>
      </c>
      <c r="C30" s="5">
        <v>5</v>
      </c>
      <c r="D30" s="5">
        <v>0</v>
      </c>
      <c r="E30" s="5"/>
      <c r="F30" s="4">
        <v>250</v>
      </c>
      <c r="G30" s="5"/>
      <c r="H30" s="5">
        <v>1</v>
      </c>
      <c r="I30" s="5">
        <v>3</v>
      </c>
      <c r="J30" s="5"/>
      <c r="K30" s="5">
        <v>428</v>
      </c>
      <c r="L30" s="5"/>
      <c r="M30" s="5">
        <v>395</v>
      </c>
    </row>
    <row r="31" spans="1:13">
      <c r="A31" s="5" t="s">
        <v>257</v>
      </c>
      <c r="B31" s="4" t="s">
        <v>10</v>
      </c>
      <c r="C31" s="5">
        <v>40</v>
      </c>
      <c r="D31" s="5">
        <v>1</v>
      </c>
      <c r="E31" s="5"/>
      <c r="F31" s="4">
        <v>250</v>
      </c>
      <c r="G31" s="5"/>
      <c r="H31" s="5">
        <v>1</v>
      </c>
      <c r="I31" s="5">
        <v>3</v>
      </c>
      <c r="J31" s="5"/>
      <c r="K31" s="5">
        <v>77</v>
      </c>
      <c r="L31" s="5"/>
      <c r="M31" s="5">
        <v>38</v>
      </c>
    </row>
    <row r="32" spans="1:13">
      <c r="A32" s="5" t="s">
        <v>258</v>
      </c>
      <c r="B32" s="4" t="s">
        <v>10</v>
      </c>
      <c r="C32" s="5">
        <v>20</v>
      </c>
      <c r="D32" s="5">
        <v>1</v>
      </c>
      <c r="E32" s="5"/>
      <c r="F32" s="4">
        <v>250</v>
      </c>
      <c r="G32" s="5"/>
      <c r="H32" s="5">
        <v>1</v>
      </c>
      <c r="I32" s="5">
        <v>3</v>
      </c>
      <c r="J32" s="5"/>
      <c r="K32" s="5">
        <v>109</v>
      </c>
      <c r="L32" s="5"/>
      <c r="M32" s="5">
        <v>102</v>
      </c>
    </row>
    <row r="33" spans="1:13">
      <c r="A33" s="5" t="s">
        <v>259</v>
      </c>
      <c r="B33" s="4" t="s">
        <v>10</v>
      </c>
      <c r="C33" s="5">
        <v>30</v>
      </c>
      <c r="D33" s="5">
        <v>1</v>
      </c>
      <c r="E33" s="5"/>
      <c r="F33" s="4">
        <v>250</v>
      </c>
      <c r="G33" s="11"/>
      <c r="H33" s="5">
        <v>1</v>
      </c>
      <c r="I33" s="5">
        <v>3</v>
      </c>
      <c r="J33" s="5"/>
      <c r="K33" s="5">
        <v>77</v>
      </c>
      <c r="L33" s="5"/>
      <c r="M33" s="5">
        <v>65</v>
      </c>
    </row>
    <row r="34" spans="1:13">
      <c r="A34" s="5" t="s">
        <v>260</v>
      </c>
      <c r="B34" s="4" t="s">
        <v>10</v>
      </c>
      <c r="C34" s="5">
        <v>10</v>
      </c>
      <c r="D34" s="5">
        <v>1</v>
      </c>
      <c r="E34" s="5"/>
      <c r="F34" s="4">
        <v>250</v>
      </c>
      <c r="G34" s="5"/>
      <c r="H34" s="5">
        <v>2</v>
      </c>
      <c r="I34" s="5">
        <v>3</v>
      </c>
      <c r="J34" s="5"/>
      <c r="K34" s="5">
        <v>237</v>
      </c>
      <c r="L34" s="5"/>
      <c r="M34" s="5">
        <v>191</v>
      </c>
    </row>
    <row r="35" spans="1:13">
      <c r="A35" s="5" t="s">
        <v>261</v>
      </c>
      <c r="B35" s="4" t="s">
        <v>10</v>
      </c>
      <c r="C35" s="5">
        <v>5</v>
      </c>
      <c r="D35" s="5">
        <v>-1</v>
      </c>
      <c r="E35" s="5"/>
      <c r="F35" s="4">
        <v>250</v>
      </c>
      <c r="G35" s="5"/>
      <c r="H35" s="5">
        <v>0</v>
      </c>
      <c r="I35" s="5">
        <v>3</v>
      </c>
      <c r="J35" s="5"/>
      <c r="K35" s="5">
        <v>-1</v>
      </c>
      <c r="L35" s="5">
        <v>-1</v>
      </c>
      <c r="M35" s="5">
        <v>-1</v>
      </c>
    </row>
    <row r="36" spans="1:13">
      <c r="A36" s="5" t="s">
        <v>262</v>
      </c>
      <c r="B36" s="4" t="s">
        <v>10</v>
      </c>
      <c r="C36" s="5">
        <v>10</v>
      </c>
      <c r="D36" s="5">
        <v>-1</v>
      </c>
      <c r="E36" s="5"/>
      <c r="F36" s="4">
        <v>250</v>
      </c>
      <c r="G36" s="5"/>
      <c r="H36" s="5">
        <v>0</v>
      </c>
      <c r="I36" s="5">
        <v>3</v>
      </c>
      <c r="J36" s="5"/>
      <c r="K36" s="5">
        <v>-1</v>
      </c>
      <c r="L36" s="5">
        <v>-1</v>
      </c>
      <c r="M36" s="5">
        <v>-1</v>
      </c>
    </row>
    <row r="37" spans="1:13">
      <c r="A37" s="5" t="s">
        <v>263</v>
      </c>
      <c r="B37" s="4" t="s">
        <v>10</v>
      </c>
      <c r="C37" s="5">
        <v>20</v>
      </c>
      <c r="D37" s="5">
        <v>-1</v>
      </c>
      <c r="E37" s="5"/>
      <c r="F37" s="4">
        <v>250</v>
      </c>
      <c r="G37" s="5"/>
      <c r="H37" s="5">
        <v>0</v>
      </c>
      <c r="I37" s="5">
        <v>3</v>
      </c>
      <c r="J37" s="5"/>
      <c r="K37" s="5">
        <v>-1</v>
      </c>
      <c r="L37" s="5">
        <v>-1</v>
      </c>
      <c r="M37" s="5">
        <v>-1</v>
      </c>
    </row>
    <row r="38" spans="1:13">
      <c r="A38" s="5" t="s">
        <v>264</v>
      </c>
      <c r="B38" s="4" t="s">
        <v>10</v>
      </c>
      <c r="C38" s="5">
        <v>30</v>
      </c>
      <c r="D38" s="5">
        <v>-1</v>
      </c>
      <c r="E38" s="5"/>
      <c r="F38" s="4">
        <v>250</v>
      </c>
      <c r="G38" s="5"/>
      <c r="H38" s="5">
        <v>0</v>
      </c>
      <c r="I38" s="5">
        <v>3</v>
      </c>
      <c r="J38" s="5"/>
      <c r="K38" s="5">
        <v>-1</v>
      </c>
      <c r="L38" s="5">
        <v>-1</v>
      </c>
      <c r="M38" s="5">
        <v>-1</v>
      </c>
    </row>
    <row r="39" spans="1:13">
      <c r="A39" s="5" t="s">
        <v>265</v>
      </c>
      <c r="B39" s="4" t="s">
        <v>10</v>
      </c>
      <c r="C39" s="5">
        <v>40</v>
      </c>
      <c r="D39" s="5">
        <v>-1</v>
      </c>
      <c r="E39" s="5"/>
      <c r="F39" s="4">
        <v>250</v>
      </c>
      <c r="G39" s="5"/>
      <c r="H39" s="5">
        <v>0</v>
      </c>
      <c r="I39" s="5">
        <v>3</v>
      </c>
      <c r="J39" s="5"/>
      <c r="K39" s="5">
        <v>-1</v>
      </c>
      <c r="L39" s="5">
        <v>-1</v>
      </c>
      <c r="M39" s="5">
        <v>-1</v>
      </c>
    </row>
    <row r="40" spans="1:13">
      <c r="A40" s="5" t="s">
        <v>266</v>
      </c>
      <c r="B40" s="4" t="s">
        <v>10</v>
      </c>
      <c r="C40" s="5">
        <v>50</v>
      </c>
      <c r="D40" s="5">
        <v>-1</v>
      </c>
      <c r="E40" s="5"/>
      <c r="F40" s="4">
        <v>250</v>
      </c>
      <c r="G40" s="5"/>
      <c r="H40" s="5">
        <v>0</v>
      </c>
      <c r="I40" s="5">
        <v>3</v>
      </c>
      <c r="J40" s="5"/>
      <c r="K40" s="5">
        <v>-1</v>
      </c>
      <c r="L40" s="5">
        <v>-1</v>
      </c>
      <c r="M40" s="5">
        <v>-1</v>
      </c>
    </row>
    <row r="41" spans="1:13">
      <c r="A41" s="5" t="s">
        <v>267</v>
      </c>
      <c r="B41" s="4" t="s">
        <v>10</v>
      </c>
      <c r="C41" s="5">
        <v>60</v>
      </c>
      <c r="D41" s="5">
        <v>-1</v>
      </c>
      <c r="E41" s="5"/>
      <c r="F41" s="4">
        <v>250</v>
      </c>
      <c r="G41" s="5"/>
      <c r="H41" s="5">
        <v>0</v>
      </c>
      <c r="I41" s="5">
        <v>3</v>
      </c>
      <c r="J41" s="5"/>
      <c r="K41" s="5">
        <v>-1</v>
      </c>
      <c r="L41" s="5">
        <v>-1</v>
      </c>
      <c r="M41" s="5">
        <v>-1</v>
      </c>
    </row>
    <row r="42" spans="1:13">
      <c r="A42" s="7" t="s">
        <v>268</v>
      </c>
      <c r="B42" s="7" t="s">
        <v>25</v>
      </c>
      <c r="C42" s="7">
        <v>40</v>
      </c>
      <c r="D42" s="7">
        <v>0</v>
      </c>
      <c r="E42" s="7">
        <v>0</v>
      </c>
      <c r="F42" s="7">
        <v>75</v>
      </c>
      <c r="G42" s="7"/>
      <c r="H42" s="7">
        <v>1</v>
      </c>
      <c r="I42" s="7">
        <v>4</v>
      </c>
      <c r="J42" s="7"/>
      <c r="K42" s="7">
        <v>77</v>
      </c>
      <c r="L42" s="7">
        <v>58</v>
      </c>
      <c r="M42" s="7">
        <v>9999</v>
      </c>
    </row>
    <row r="43" spans="1:13">
      <c r="A43" s="7" t="s">
        <v>269</v>
      </c>
      <c r="B43" s="7" t="s">
        <v>25</v>
      </c>
      <c r="C43" s="7">
        <v>20</v>
      </c>
      <c r="D43" s="7">
        <v>0</v>
      </c>
      <c r="E43" s="7">
        <v>0</v>
      </c>
      <c r="F43" s="7">
        <v>75</v>
      </c>
      <c r="G43" s="7"/>
      <c r="H43" s="7">
        <v>1</v>
      </c>
      <c r="I43" s="13">
        <v>4</v>
      </c>
      <c r="J43" s="7"/>
      <c r="K43" s="7">
        <v>109</v>
      </c>
      <c r="L43" s="7">
        <v>106</v>
      </c>
      <c r="M43" s="7">
        <v>9999</v>
      </c>
    </row>
    <row r="44" spans="1:13">
      <c r="A44" s="7" t="s">
        <v>270</v>
      </c>
      <c r="B44" s="7" t="s">
        <v>25</v>
      </c>
      <c r="C44" s="7">
        <v>10</v>
      </c>
      <c r="D44" s="7">
        <v>0</v>
      </c>
      <c r="E44" s="7">
        <v>0</v>
      </c>
      <c r="F44" s="7">
        <v>75</v>
      </c>
      <c r="G44" s="7"/>
      <c r="H44" s="7">
        <v>1</v>
      </c>
      <c r="I44" s="7">
        <v>4</v>
      </c>
      <c r="J44" s="7"/>
      <c r="K44" s="7">
        <v>239</v>
      </c>
      <c r="L44" s="7">
        <v>205</v>
      </c>
      <c r="M44" s="7">
        <v>9999</v>
      </c>
    </row>
    <row r="45" spans="1:13">
      <c r="A45" s="7" t="s">
        <v>271</v>
      </c>
      <c r="B45" s="7" t="s">
        <v>25</v>
      </c>
      <c r="C45" s="7">
        <v>5</v>
      </c>
      <c r="D45" s="7">
        <v>0</v>
      </c>
      <c r="E45" s="7">
        <v>0</v>
      </c>
      <c r="F45" s="7">
        <v>75</v>
      </c>
      <c r="G45" s="7"/>
      <c r="H45" s="7">
        <v>1</v>
      </c>
      <c r="I45" s="13">
        <v>4</v>
      </c>
      <c r="J45" s="7"/>
      <c r="K45" s="7">
        <v>429</v>
      </c>
      <c r="L45" s="7">
        <v>403</v>
      </c>
      <c r="M45" s="7">
        <v>9999</v>
      </c>
    </row>
    <row r="46" spans="1:13">
      <c r="A46" s="7" t="s">
        <v>272</v>
      </c>
      <c r="B46" s="7" t="s">
        <v>25</v>
      </c>
      <c r="C46" s="7">
        <v>30</v>
      </c>
      <c r="D46" s="7">
        <v>0</v>
      </c>
      <c r="E46" s="7">
        <v>1</v>
      </c>
      <c r="F46" s="7">
        <v>75</v>
      </c>
      <c r="G46" s="7"/>
      <c r="H46" s="7">
        <v>1</v>
      </c>
      <c r="I46" s="7">
        <v>4</v>
      </c>
      <c r="J46" s="7"/>
      <c r="K46" s="7">
        <v>77</v>
      </c>
      <c r="L46" s="7">
        <v>72</v>
      </c>
      <c r="M46" s="7">
        <v>80</v>
      </c>
    </row>
    <row r="47" spans="1:13">
      <c r="A47" s="7" t="s">
        <v>273</v>
      </c>
      <c r="B47" s="7" t="s">
        <v>25</v>
      </c>
      <c r="C47" s="7">
        <v>40</v>
      </c>
      <c r="D47" s="7">
        <v>0</v>
      </c>
      <c r="E47" s="7">
        <v>1</v>
      </c>
      <c r="F47" s="7">
        <v>75</v>
      </c>
      <c r="G47" s="7"/>
      <c r="H47" s="7">
        <v>2</v>
      </c>
      <c r="I47" s="13">
        <v>4</v>
      </c>
      <c r="J47" s="7"/>
      <c r="K47" s="7">
        <v>77</v>
      </c>
      <c r="L47" s="7">
        <v>57</v>
      </c>
      <c r="M47" s="7">
        <v>58</v>
      </c>
    </row>
    <row r="48" spans="1:13">
      <c r="A48" s="7" t="s">
        <v>274</v>
      </c>
      <c r="B48" s="7" t="s">
        <v>25</v>
      </c>
      <c r="C48" s="7">
        <v>5</v>
      </c>
      <c r="D48" s="7">
        <v>-1</v>
      </c>
      <c r="E48" s="7"/>
      <c r="F48" s="7">
        <v>75</v>
      </c>
      <c r="G48" s="7"/>
      <c r="H48" s="7">
        <v>0</v>
      </c>
      <c r="I48" s="7">
        <v>4</v>
      </c>
      <c r="J48" s="7"/>
      <c r="K48" s="7">
        <v>-1</v>
      </c>
      <c r="L48" s="7">
        <v>-1</v>
      </c>
      <c r="M48" s="7">
        <v>-1</v>
      </c>
    </row>
    <row r="49" spans="1:13">
      <c r="A49" s="7" t="s">
        <v>275</v>
      </c>
      <c r="B49" s="7" t="s">
        <v>25</v>
      </c>
      <c r="C49" s="7">
        <v>10</v>
      </c>
      <c r="D49" s="7">
        <v>-1</v>
      </c>
      <c r="E49" s="7"/>
      <c r="F49" s="7">
        <v>75</v>
      </c>
      <c r="G49" s="7"/>
      <c r="H49" s="7">
        <v>0</v>
      </c>
      <c r="I49" s="13">
        <v>4</v>
      </c>
      <c r="J49" s="7"/>
      <c r="K49" s="7">
        <v>-1</v>
      </c>
      <c r="L49" s="7">
        <v>-1</v>
      </c>
      <c r="M49" s="7">
        <v>-1</v>
      </c>
    </row>
    <row r="50" spans="1:13">
      <c r="A50" s="7" t="s">
        <v>276</v>
      </c>
      <c r="B50" s="7" t="s">
        <v>25</v>
      </c>
      <c r="C50" s="7">
        <v>20</v>
      </c>
      <c r="D50" s="7">
        <v>-1</v>
      </c>
      <c r="E50" s="7"/>
      <c r="F50" s="7">
        <v>75</v>
      </c>
      <c r="G50" s="7"/>
      <c r="H50" s="7">
        <v>0</v>
      </c>
      <c r="I50" s="7">
        <v>4</v>
      </c>
      <c r="J50" s="7"/>
      <c r="K50" s="7">
        <v>-1</v>
      </c>
      <c r="L50" s="7">
        <v>-1</v>
      </c>
      <c r="M50" s="7">
        <v>-1</v>
      </c>
    </row>
    <row r="51" spans="1:13">
      <c r="A51" s="7" t="s">
        <v>277</v>
      </c>
      <c r="B51" s="7" t="s">
        <v>25</v>
      </c>
      <c r="C51" s="7">
        <v>30</v>
      </c>
      <c r="D51" s="7">
        <v>-1</v>
      </c>
      <c r="E51" s="7"/>
      <c r="F51" s="7">
        <v>75</v>
      </c>
      <c r="G51" s="7"/>
      <c r="H51" s="7">
        <v>0</v>
      </c>
      <c r="I51" s="13">
        <v>4</v>
      </c>
      <c r="J51" s="7"/>
      <c r="K51" s="7">
        <v>-1</v>
      </c>
      <c r="L51" s="7">
        <v>-1</v>
      </c>
      <c r="M51" s="7">
        <v>-1</v>
      </c>
    </row>
    <row r="52" spans="1:13">
      <c r="A52" s="7" t="s">
        <v>278</v>
      </c>
      <c r="B52" s="7" t="s">
        <v>25</v>
      </c>
      <c r="C52" s="7">
        <v>40</v>
      </c>
      <c r="D52" s="7">
        <v>-1</v>
      </c>
      <c r="E52" s="7"/>
      <c r="F52" s="7">
        <v>75</v>
      </c>
      <c r="G52" s="7"/>
      <c r="H52" s="7">
        <v>0</v>
      </c>
      <c r="I52" s="7">
        <v>4</v>
      </c>
      <c r="J52" s="7"/>
      <c r="K52" s="7">
        <v>-1</v>
      </c>
      <c r="L52" s="7">
        <v>-1</v>
      </c>
      <c r="M52" s="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7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3.62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279</v>
      </c>
      <c r="B2" s="10" t="s">
        <v>68</v>
      </c>
      <c r="C2" s="10">
        <v>20</v>
      </c>
      <c r="D2" s="10">
        <v>0</v>
      </c>
      <c r="E2" s="10">
        <v>1</v>
      </c>
      <c r="F2" s="5">
        <v>75</v>
      </c>
      <c r="G2" s="5"/>
      <c r="H2" s="5">
        <v>1</v>
      </c>
      <c r="I2" s="5">
        <v>1</v>
      </c>
      <c r="J2" s="5">
        <f>MAX(I:I)</f>
        <v>5</v>
      </c>
      <c r="K2" s="5">
        <v>109</v>
      </c>
      <c r="L2" s="5"/>
      <c r="M2" s="5">
        <v>110</v>
      </c>
    </row>
    <row r="3" spans="1:13">
      <c r="A3" s="9" t="s">
        <v>280</v>
      </c>
      <c r="B3" s="10" t="s">
        <v>68</v>
      </c>
      <c r="C3" s="10">
        <v>5</v>
      </c>
      <c r="D3" s="10">
        <v>0</v>
      </c>
      <c r="E3" s="10"/>
      <c r="F3" s="5">
        <v>75</v>
      </c>
      <c r="G3" s="5"/>
      <c r="H3" s="5">
        <v>1</v>
      </c>
      <c r="I3" s="5">
        <v>1</v>
      </c>
      <c r="J3" s="5"/>
      <c r="K3" s="5">
        <v>429</v>
      </c>
      <c r="L3" s="5"/>
      <c r="M3" s="5">
        <v>623</v>
      </c>
    </row>
    <row r="4" spans="1:13">
      <c r="A4" s="9" t="s">
        <v>281</v>
      </c>
      <c r="B4" s="10" t="s">
        <v>68</v>
      </c>
      <c r="C4" s="10">
        <v>40</v>
      </c>
      <c r="D4" s="10">
        <v>0</v>
      </c>
      <c r="E4" s="10"/>
      <c r="F4" s="5">
        <v>75</v>
      </c>
      <c r="G4" s="5"/>
      <c r="H4" s="5">
        <v>1</v>
      </c>
      <c r="I4" s="5">
        <v>1</v>
      </c>
      <c r="J4" s="5"/>
      <c r="K4" s="5">
        <v>77</v>
      </c>
      <c r="L4" s="5"/>
      <c r="M4" s="5">
        <v>60</v>
      </c>
    </row>
    <row r="5" spans="1:13">
      <c r="A5" s="5" t="s">
        <v>282</v>
      </c>
      <c r="B5" s="10" t="s">
        <v>68</v>
      </c>
      <c r="C5" s="5">
        <v>10</v>
      </c>
      <c r="D5" s="5">
        <v>0</v>
      </c>
      <c r="E5" s="5"/>
      <c r="F5" s="5">
        <v>75</v>
      </c>
      <c r="G5" s="5"/>
      <c r="H5" s="5">
        <v>1</v>
      </c>
      <c r="I5" s="5">
        <v>1</v>
      </c>
      <c r="J5" s="5"/>
      <c r="K5" s="5">
        <v>236</v>
      </c>
      <c r="L5" s="5"/>
      <c r="M5" s="5">
        <v>198</v>
      </c>
    </row>
    <row r="6" spans="1:13">
      <c r="A6" s="5" t="s">
        <v>283</v>
      </c>
      <c r="B6" s="10" t="s">
        <v>68</v>
      </c>
      <c r="C6" s="5">
        <v>30</v>
      </c>
      <c r="D6" s="5">
        <v>0</v>
      </c>
      <c r="E6" s="5"/>
      <c r="F6" s="5">
        <v>75</v>
      </c>
      <c r="G6" s="5"/>
      <c r="H6" s="5">
        <v>1</v>
      </c>
      <c r="I6" s="5">
        <v>1</v>
      </c>
      <c r="J6" s="5"/>
      <c r="K6" s="5">
        <v>76</v>
      </c>
      <c r="L6" s="5"/>
      <c r="M6" s="5">
        <v>83</v>
      </c>
    </row>
    <row r="7" spans="1:13">
      <c r="A7" s="16" t="s">
        <v>284</v>
      </c>
      <c r="B7" s="17" t="s">
        <v>68</v>
      </c>
      <c r="C7" s="16">
        <v>10</v>
      </c>
      <c r="D7" s="16">
        <v>0</v>
      </c>
      <c r="E7" s="16"/>
      <c r="F7" s="16">
        <v>75</v>
      </c>
      <c r="G7" s="16"/>
      <c r="H7" s="16">
        <v>0</v>
      </c>
      <c r="I7" s="16">
        <v>1</v>
      </c>
      <c r="J7" s="5"/>
      <c r="K7" s="5">
        <v>-1</v>
      </c>
      <c r="L7" s="5">
        <v>-1</v>
      </c>
      <c r="M7" s="5">
        <v>-1</v>
      </c>
    </row>
    <row r="8" spans="1:13">
      <c r="A8" s="5" t="s">
        <v>285</v>
      </c>
      <c r="B8" s="10" t="s">
        <v>68</v>
      </c>
      <c r="C8" s="5">
        <v>5</v>
      </c>
      <c r="D8" s="5">
        <v>-1</v>
      </c>
      <c r="E8" s="5"/>
      <c r="F8" s="5">
        <v>75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286</v>
      </c>
      <c r="B9" s="10" t="s">
        <v>68</v>
      </c>
      <c r="C9" s="5">
        <v>10</v>
      </c>
      <c r="D9" s="5">
        <v>-1</v>
      </c>
      <c r="E9" s="5"/>
      <c r="F9" s="5">
        <v>75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287</v>
      </c>
      <c r="B10" s="10" t="s">
        <v>68</v>
      </c>
      <c r="C10" s="5">
        <v>20</v>
      </c>
      <c r="D10" s="5">
        <v>-1</v>
      </c>
      <c r="E10" s="5"/>
      <c r="F10" s="5">
        <v>75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288</v>
      </c>
      <c r="B11" s="10" t="s">
        <v>68</v>
      </c>
      <c r="C11" s="5">
        <v>30</v>
      </c>
      <c r="D11" s="5">
        <v>-1</v>
      </c>
      <c r="E11" s="5"/>
      <c r="F11" s="5">
        <v>75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4" t="s">
        <v>289</v>
      </c>
      <c r="B12" s="10" t="s">
        <v>68</v>
      </c>
      <c r="C12" s="4">
        <v>40</v>
      </c>
      <c r="D12" s="5">
        <v>-1</v>
      </c>
      <c r="E12" s="5"/>
      <c r="F12" s="5">
        <v>75</v>
      </c>
      <c r="G12" s="4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5" t="s">
        <v>290</v>
      </c>
      <c r="B13" s="10" t="s">
        <v>68</v>
      </c>
      <c r="C13" s="5">
        <v>50</v>
      </c>
      <c r="D13" s="5">
        <v>-1</v>
      </c>
      <c r="E13" s="5"/>
      <c r="F13" s="5">
        <v>75</v>
      </c>
      <c r="G13" s="5"/>
      <c r="H13" s="5">
        <v>0</v>
      </c>
      <c r="I13" s="5">
        <v>1</v>
      </c>
      <c r="J13" s="5"/>
      <c r="K13" s="5">
        <v>-1</v>
      </c>
      <c r="L13" s="5">
        <v>-1</v>
      </c>
      <c r="M13" s="5">
        <v>-1</v>
      </c>
    </row>
    <row r="14" spans="1:13">
      <c r="A14" s="8" t="s">
        <v>291</v>
      </c>
      <c r="B14" s="7" t="s">
        <v>241</v>
      </c>
      <c r="C14" s="8">
        <v>5</v>
      </c>
      <c r="D14" s="7">
        <v>1</v>
      </c>
      <c r="E14" s="7"/>
      <c r="F14" s="7">
        <v>250</v>
      </c>
      <c r="G14" s="8"/>
      <c r="H14" s="7">
        <v>1</v>
      </c>
      <c r="I14" s="7">
        <v>2</v>
      </c>
      <c r="J14" s="7"/>
      <c r="K14" s="7">
        <v>428</v>
      </c>
      <c r="L14" s="7"/>
      <c r="M14" s="7">
        <v>338</v>
      </c>
    </row>
    <row r="15" spans="1:13">
      <c r="A15" s="8" t="s">
        <v>292</v>
      </c>
      <c r="B15" s="7" t="s">
        <v>241</v>
      </c>
      <c r="C15" s="8">
        <v>40</v>
      </c>
      <c r="D15" s="7">
        <v>1</v>
      </c>
      <c r="E15" s="7"/>
      <c r="F15" s="7">
        <v>250</v>
      </c>
      <c r="G15" s="8"/>
      <c r="H15" s="7">
        <v>1</v>
      </c>
      <c r="I15" s="7">
        <v>2</v>
      </c>
      <c r="J15" s="7"/>
      <c r="K15" s="7">
        <v>78</v>
      </c>
      <c r="L15" s="7"/>
      <c r="M15" s="7">
        <v>51</v>
      </c>
    </row>
    <row r="16" spans="1:13">
      <c r="A16" s="8" t="s">
        <v>293</v>
      </c>
      <c r="B16" s="7" t="s">
        <v>241</v>
      </c>
      <c r="C16" s="8">
        <v>10</v>
      </c>
      <c r="D16" s="7">
        <v>0</v>
      </c>
      <c r="E16" s="7"/>
      <c r="F16" s="7">
        <v>250</v>
      </c>
      <c r="G16" s="8"/>
      <c r="H16" s="7">
        <v>1</v>
      </c>
      <c r="I16" s="7">
        <v>2</v>
      </c>
      <c r="J16" s="7"/>
      <c r="K16" s="7">
        <v>237</v>
      </c>
      <c r="L16" s="7"/>
      <c r="M16" s="7">
        <v>9999</v>
      </c>
    </row>
    <row r="17" spans="1:14">
      <c r="A17" s="8" t="s">
        <v>294</v>
      </c>
      <c r="B17" s="7" t="s">
        <v>241</v>
      </c>
      <c r="C17" s="8">
        <v>20</v>
      </c>
      <c r="D17" s="7">
        <v>0</v>
      </c>
      <c r="E17" s="7"/>
      <c r="F17" s="7">
        <v>250</v>
      </c>
      <c r="G17" s="8"/>
      <c r="H17" s="7">
        <v>1</v>
      </c>
      <c r="I17" s="7">
        <v>2</v>
      </c>
      <c r="J17" s="7"/>
      <c r="K17" s="7">
        <v>109</v>
      </c>
      <c r="L17" s="7"/>
      <c r="M17" s="7">
        <v>111</v>
      </c>
    </row>
    <row r="18" spans="1:14">
      <c r="A18" s="8" t="s">
        <v>295</v>
      </c>
      <c r="B18" s="7" t="s">
        <v>241</v>
      </c>
      <c r="C18" s="8">
        <v>30</v>
      </c>
      <c r="D18" s="7">
        <v>0</v>
      </c>
      <c r="E18" s="7"/>
      <c r="F18" s="7">
        <v>250</v>
      </c>
      <c r="G18" s="8"/>
      <c r="H18" s="7">
        <v>1</v>
      </c>
      <c r="I18" s="7">
        <v>2</v>
      </c>
      <c r="J18" s="7"/>
      <c r="K18" s="7">
        <v>77</v>
      </c>
      <c r="L18" s="7"/>
      <c r="M18" s="7">
        <v>71</v>
      </c>
    </row>
    <row r="19" spans="1:14" s="31" customFormat="1">
      <c r="A19" s="30" t="s">
        <v>296</v>
      </c>
      <c r="B19" s="31" t="s">
        <v>241</v>
      </c>
      <c r="C19" s="30">
        <v>5</v>
      </c>
      <c r="D19" s="31">
        <v>0</v>
      </c>
      <c r="F19" s="31">
        <v>250</v>
      </c>
      <c r="G19" s="30"/>
      <c r="H19" s="31">
        <v>2</v>
      </c>
      <c r="I19" s="31">
        <v>2</v>
      </c>
      <c r="K19" s="31">
        <v>429</v>
      </c>
      <c r="L19" s="31">
        <v>-1</v>
      </c>
      <c r="M19" s="31">
        <v>405</v>
      </c>
      <c r="N19" s="1"/>
    </row>
    <row r="20" spans="1:14">
      <c r="A20" s="8" t="s">
        <v>297</v>
      </c>
      <c r="B20" s="7" t="s">
        <v>241</v>
      </c>
      <c r="C20" s="8">
        <v>5</v>
      </c>
      <c r="D20" s="7">
        <v>-1</v>
      </c>
      <c r="E20" s="7"/>
      <c r="F20" s="7">
        <v>250</v>
      </c>
      <c r="G20" s="8"/>
      <c r="H20" s="7">
        <v>0</v>
      </c>
      <c r="I20" s="7">
        <v>2</v>
      </c>
      <c r="J20" s="7"/>
      <c r="K20" s="7">
        <v>-1</v>
      </c>
      <c r="L20" s="7">
        <v>-1</v>
      </c>
      <c r="M20" s="7">
        <v>-1</v>
      </c>
    </row>
    <row r="21" spans="1:14">
      <c r="A21" s="7" t="s">
        <v>298</v>
      </c>
      <c r="B21" s="7" t="s">
        <v>241</v>
      </c>
      <c r="C21" s="7">
        <v>10</v>
      </c>
      <c r="D21" s="7">
        <v>-1</v>
      </c>
      <c r="E21" s="7"/>
      <c r="F21" s="7">
        <v>250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4">
      <c r="A22" s="7" t="s">
        <v>299</v>
      </c>
      <c r="B22" s="7" t="s">
        <v>241</v>
      </c>
      <c r="C22" s="7">
        <v>20</v>
      </c>
      <c r="D22" s="7">
        <v>-1</v>
      </c>
      <c r="E22" s="7"/>
      <c r="F22" s="7">
        <v>250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4">
      <c r="A23" s="7" t="s">
        <v>300</v>
      </c>
      <c r="B23" s="7" t="s">
        <v>241</v>
      </c>
      <c r="C23" s="7">
        <v>30</v>
      </c>
      <c r="D23" s="7">
        <v>-1</v>
      </c>
      <c r="E23" s="7"/>
      <c r="F23" s="7">
        <v>250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4">
      <c r="A24" s="7" t="s">
        <v>301</v>
      </c>
      <c r="B24" s="7" t="s">
        <v>241</v>
      </c>
      <c r="C24" s="7">
        <v>40</v>
      </c>
      <c r="D24" s="7">
        <v>-1</v>
      </c>
      <c r="E24" s="7"/>
      <c r="F24" s="7">
        <v>250</v>
      </c>
      <c r="G24" s="7"/>
      <c r="H24" s="7">
        <v>0</v>
      </c>
      <c r="I24" s="7">
        <v>2</v>
      </c>
      <c r="J24" s="7"/>
      <c r="K24" s="7">
        <v>-1</v>
      </c>
      <c r="L24" s="7">
        <v>-1</v>
      </c>
      <c r="M24" s="7">
        <v>-1</v>
      </c>
    </row>
    <row r="25" spans="1:14">
      <c r="A25" s="5" t="s">
        <v>302</v>
      </c>
      <c r="B25" s="4" t="s">
        <v>10</v>
      </c>
      <c r="C25" s="5">
        <v>10</v>
      </c>
      <c r="D25" s="5">
        <v>1</v>
      </c>
      <c r="E25" s="5"/>
      <c r="F25" s="4">
        <v>250</v>
      </c>
      <c r="G25" s="5"/>
      <c r="H25" s="5">
        <v>1</v>
      </c>
      <c r="I25" s="5">
        <v>3</v>
      </c>
      <c r="J25" s="5"/>
      <c r="K25" s="5">
        <v>238</v>
      </c>
      <c r="L25" s="5"/>
      <c r="M25" s="5">
        <v>181</v>
      </c>
    </row>
    <row r="26" spans="1:14">
      <c r="A26" s="5" t="s">
        <v>303</v>
      </c>
      <c r="B26" s="4" t="s">
        <v>10</v>
      </c>
      <c r="C26" s="5">
        <v>40</v>
      </c>
      <c r="D26" s="5">
        <v>1</v>
      </c>
      <c r="E26" s="5"/>
      <c r="F26" s="4">
        <v>250</v>
      </c>
      <c r="G26" s="5"/>
      <c r="H26" s="5">
        <v>1</v>
      </c>
      <c r="I26" s="5">
        <v>3</v>
      </c>
      <c r="J26" s="5"/>
      <c r="K26" s="5">
        <v>78</v>
      </c>
      <c r="L26" s="5"/>
      <c r="M26" s="5">
        <v>19</v>
      </c>
    </row>
    <row r="27" spans="1:14" s="31" customFormat="1">
      <c r="A27" s="31" t="s">
        <v>304</v>
      </c>
      <c r="B27" s="30" t="s">
        <v>10</v>
      </c>
      <c r="C27" s="31">
        <v>20</v>
      </c>
      <c r="D27" s="31">
        <v>1</v>
      </c>
      <c r="F27" s="30">
        <v>250</v>
      </c>
      <c r="H27" s="31">
        <v>1</v>
      </c>
      <c r="I27" s="31">
        <v>3</v>
      </c>
      <c r="K27" s="31">
        <v>110</v>
      </c>
      <c r="M27" s="31">
        <v>18</v>
      </c>
      <c r="N27" s="1"/>
    </row>
    <row r="28" spans="1:14">
      <c r="A28" s="5" t="s">
        <v>305</v>
      </c>
      <c r="B28" s="4" t="s">
        <v>10</v>
      </c>
      <c r="C28" s="5">
        <v>5</v>
      </c>
      <c r="D28" s="5">
        <v>0</v>
      </c>
      <c r="E28" s="5"/>
      <c r="F28" s="4">
        <v>250</v>
      </c>
      <c r="G28" s="5"/>
      <c r="H28" s="5">
        <v>1</v>
      </c>
      <c r="I28" s="5">
        <v>3</v>
      </c>
      <c r="J28" s="5"/>
      <c r="K28" s="5">
        <v>429</v>
      </c>
      <c r="L28" s="5"/>
      <c r="M28" s="5">
        <v>409</v>
      </c>
    </row>
    <row r="29" spans="1:14">
      <c r="A29" s="5" t="s">
        <v>306</v>
      </c>
      <c r="B29" s="4" t="s">
        <v>10</v>
      </c>
      <c r="C29" s="5">
        <v>30</v>
      </c>
      <c r="D29" s="5">
        <v>1</v>
      </c>
      <c r="E29" s="5"/>
      <c r="F29" s="4">
        <v>250</v>
      </c>
      <c r="G29" s="11"/>
      <c r="H29" s="5">
        <v>1</v>
      </c>
      <c r="I29" s="5">
        <v>3</v>
      </c>
      <c r="J29" s="5"/>
      <c r="K29" s="5">
        <v>77</v>
      </c>
      <c r="L29" s="5"/>
      <c r="M29" s="5">
        <v>43</v>
      </c>
    </row>
    <row r="30" spans="1:14">
      <c r="A30" s="5" t="s">
        <v>307</v>
      </c>
      <c r="B30" s="4" t="s">
        <v>10</v>
      </c>
      <c r="C30" s="5">
        <v>10</v>
      </c>
      <c r="D30" s="5">
        <v>1</v>
      </c>
      <c r="E30" s="5"/>
      <c r="F30" s="4">
        <v>250</v>
      </c>
      <c r="G30" s="5"/>
      <c r="H30" s="5">
        <v>2</v>
      </c>
      <c r="I30" s="5">
        <v>3</v>
      </c>
      <c r="J30" s="5"/>
      <c r="K30" s="5">
        <v>238</v>
      </c>
      <c r="L30" s="5"/>
      <c r="M30" s="5">
        <v>193</v>
      </c>
    </row>
    <row r="31" spans="1:14">
      <c r="A31" s="5" t="s">
        <v>308</v>
      </c>
      <c r="B31" s="4" t="s">
        <v>10</v>
      </c>
      <c r="C31" s="5">
        <v>5</v>
      </c>
      <c r="D31" s="5">
        <v>-1</v>
      </c>
      <c r="E31" s="5"/>
      <c r="F31" s="4">
        <v>250</v>
      </c>
      <c r="G31" s="5"/>
      <c r="H31" s="5">
        <v>0</v>
      </c>
      <c r="I31" s="5">
        <v>3</v>
      </c>
      <c r="J31" s="5"/>
      <c r="K31" s="5">
        <v>-1</v>
      </c>
      <c r="L31" s="5">
        <v>-1</v>
      </c>
      <c r="M31" s="5">
        <v>-1</v>
      </c>
    </row>
    <row r="32" spans="1:14">
      <c r="A32" s="5" t="s">
        <v>309</v>
      </c>
      <c r="B32" s="4" t="s">
        <v>10</v>
      </c>
      <c r="C32" s="5">
        <v>10</v>
      </c>
      <c r="D32" s="5">
        <v>-1</v>
      </c>
      <c r="E32" s="5"/>
      <c r="F32" s="4">
        <v>250</v>
      </c>
      <c r="G32" s="5"/>
      <c r="H32" s="5">
        <v>0</v>
      </c>
      <c r="I32" s="5">
        <v>3</v>
      </c>
      <c r="J32" s="5"/>
      <c r="K32" s="5">
        <v>-1</v>
      </c>
      <c r="L32" s="5">
        <v>-1</v>
      </c>
      <c r="M32" s="5">
        <v>-1</v>
      </c>
    </row>
    <row r="33" spans="1:14">
      <c r="A33" s="5" t="s">
        <v>310</v>
      </c>
      <c r="B33" s="4" t="s">
        <v>10</v>
      </c>
      <c r="C33" s="5">
        <v>20</v>
      </c>
      <c r="D33" s="5">
        <v>-1</v>
      </c>
      <c r="E33" s="5"/>
      <c r="F33" s="4">
        <v>250</v>
      </c>
      <c r="G33" s="5"/>
      <c r="H33" s="5">
        <v>0</v>
      </c>
      <c r="I33" s="5">
        <v>3</v>
      </c>
      <c r="J33" s="5"/>
      <c r="K33" s="5">
        <v>-1</v>
      </c>
      <c r="L33" s="5">
        <v>-1</v>
      </c>
      <c r="M33" s="5">
        <v>-1</v>
      </c>
    </row>
    <row r="34" spans="1:14">
      <c r="A34" s="5" t="s">
        <v>311</v>
      </c>
      <c r="B34" s="4" t="s">
        <v>10</v>
      </c>
      <c r="C34" s="5">
        <v>30</v>
      </c>
      <c r="D34" s="5">
        <v>-1</v>
      </c>
      <c r="E34" s="5"/>
      <c r="F34" s="4">
        <v>250</v>
      </c>
      <c r="G34" s="5"/>
      <c r="H34" s="5">
        <v>0</v>
      </c>
      <c r="I34" s="5">
        <v>3</v>
      </c>
      <c r="J34" s="5"/>
      <c r="K34" s="5">
        <v>-1</v>
      </c>
      <c r="L34" s="5">
        <v>-1</v>
      </c>
      <c r="M34" s="5">
        <v>-1</v>
      </c>
    </row>
    <row r="35" spans="1:14">
      <c r="A35" s="5" t="s">
        <v>312</v>
      </c>
      <c r="B35" s="4" t="s">
        <v>10</v>
      </c>
      <c r="C35" s="5">
        <v>40</v>
      </c>
      <c r="D35" s="5">
        <v>-1</v>
      </c>
      <c r="E35" s="5"/>
      <c r="F35" s="4">
        <v>250</v>
      </c>
      <c r="G35" s="5"/>
      <c r="H35" s="5">
        <v>0</v>
      </c>
      <c r="I35" s="5">
        <v>3</v>
      </c>
      <c r="J35" s="5"/>
      <c r="K35" s="5">
        <v>-1</v>
      </c>
      <c r="L35" s="5">
        <v>-1</v>
      </c>
      <c r="M35" s="5">
        <v>-1</v>
      </c>
    </row>
    <row r="36" spans="1:14">
      <c r="A36" s="5" t="s">
        <v>313</v>
      </c>
      <c r="B36" s="4" t="s">
        <v>10</v>
      </c>
      <c r="C36" s="5">
        <v>50</v>
      </c>
      <c r="D36" s="5">
        <v>-1</v>
      </c>
      <c r="E36" s="5"/>
      <c r="F36" s="4">
        <v>250</v>
      </c>
      <c r="G36" s="5"/>
      <c r="H36" s="5">
        <v>0</v>
      </c>
      <c r="I36" s="5">
        <v>3</v>
      </c>
      <c r="J36" s="5"/>
      <c r="K36" s="5">
        <v>-1</v>
      </c>
      <c r="L36" s="5">
        <v>-1</v>
      </c>
      <c r="M36" s="5">
        <v>-1</v>
      </c>
    </row>
    <row r="37" spans="1:14">
      <c r="A37" s="7" t="s">
        <v>314</v>
      </c>
      <c r="B37" s="7" t="s">
        <v>25</v>
      </c>
      <c r="C37" s="7">
        <v>40</v>
      </c>
      <c r="D37" s="7">
        <v>0</v>
      </c>
      <c r="E37" s="7">
        <v>0</v>
      </c>
      <c r="F37" s="7">
        <v>75</v>
      </c>
      <c r="G37" s="7"/>
      <c r="H37" s="7">
        <v>1</v>
      </c>
      <c r="I37" s="7">
        <v>4</v>
      </c>
      <c r="J37" s="7"/>
      <c r="K37" s="7">
        <v>77</v>
      </c>
      <c r="L37" s="7"/>
      <c r="M37" s="7">
        <v>516</v>
      </c>
    </row>
    <row r="38" spans="1:14">
      <c r="A38" s="7" t="s">
        <v>315</v>
      </c>
      <c r="B38" s="7" t="s">
        <v>25</v>
      </c>
      <c r="C38" s="7">
        <v>10</v>
      </c>
      <c r="D38" s="7">
        <v>0</v>
      </c>
      <c r="E38" s="7">
        <v>1</v>
      </c>
      <c r="F38" s="7">
        <v>75</v>
      </c>
      <c r="G38" s="7"/>
      <c r="H38" s="7">
        <v>1</v>
      </c>
      <c r="I38" s="13">
        <v>4</v>
      </c>
      <c r="J38" s="7"/>
      <c r="K38" s="7">
        <v>237</v>
      </c>
      <c r="L38" s="7"/>
      <c r="M38" s="7">
        <v>205</v>
      </c>
    </row>
    <row r="39" spans="1:14">
      <c r="A39" s="7" t="s">
        <v>316</v>
      </c>
      <c r="B39" s="7" t="s">
        <v>25</v>
      </c>
      <c r="C39" s="7">
        <v>5</v>
      </c>
      <c r="D39" s="7">
        <v>0</v>
      </c>
      <c r="E39" s="7">
        <v>1</v>
      </c>
      <c r="F39" s="7">
        <v>75</v>
      </c>
      <c r="G39" s="7"/>
      <c r="H39" s="7">
        <v>1</v>
      </c>
      <c r="I39" s="7">
        <v>4</v>
      </c>
      <c r="J39" s="7"/>
      <c r="K39" s="7">
        <v>429</v>
      </c>
      <c r="L39" s="7"/>
      <c r="M39" s="7">
        <v>397</v>
      </c>
    </row>
    <row r="40" spans="1:14">
      <c r="A40" s="7" t="s">
        <v>317</v>
      </c>
      <c r="B40" s="7" t="s">
        <v>25</v>
      </c>
      <c r="C40" s="7">
        <v>20</v>
      </c>
      <c r="D40" s="7">
        <v>0</v>
      </c>
      <c r="E40" s="7">
        <v>1</v>
      </c>
      <c r="F40" s="7">
        <v>75</v>
      </c>
      <c r="G40" s="7"/>
      <c r="H40" s="7">
        <v>1</v>
      </c>
      <c r="I40" s="13">
        <v>4</v>
      </c>
      <c r="J40" s="7"/>
      <c r="K40" s="7">
        <v>108</v>
      </c>
      <c r="L40" s="7"/>
      <c r="M40" s="7">
        <v>105</v>
      </c>
    </row>
    <row r="41" spans="1:14">
      <c r="A41" s="7" t="s">
        <v>318</v>
      </c>
      <c r="B41" s="7" t="s">
        <v>25</v>
      </c>
      <c r="C41" s="7">
        <v>30</v>
      </c>
      <c r="D41" s="7">
        <v>0</v>
      </c>
      <c r="E41" s="7">
        <v>0</v>
      </c>
      <c r="F41" s="7">
        <v>75</v>
      </c>
      <c r="G41" s="7"/>
      <c r="H41" s="7">
        <v>1</v>
      </c>
      <c r="I41" s="7">
        <v>4</v>
      </c>
      <c r="J41" s="7"/>
      <c r="K41" s="7">
        <v>77</v>
      </c>
      <c r="L41" s="7"/>
      <c r="M41" s="7">
        <v>9999</v>
      </c>
    </row>
    <row r="42" spans="1:14" s="19" customFormat="1">
      <c r="A42" s="19" t="s">
        <v>319</v>
      </c>
      <c r="B42" s="19" t="s">
        <v>25</v>
      </c>
      <c r="C42" s="19">
        <v>5</v>
      </c>
      <c r="D42" s="19">
        <v>-1</v>
      </c>
      <c r="F42" s="19">
        <v>75</v>
      </c>
      <c r="H42" s="19">
        <v>0</v>
      </c>
      <c r="I42" s="19">
        <v>4</v>
      </c>
      <c r="K42" s="19">
        <v>-1</v>
      </c>
      <c r="L42" s="19">
        <v>-1</v>
      </c>
      <c r="M42" s="19">
        <v>-1</v>
      </c>
      <c r="N42" s="1"/>
    </row>
    <row r="43" spans="1:14">
      <c r="A43" s="7" t="s">
        <v>320</v>
      </c>
      <c r="B43" s="7" t="s">
        <v>25</v>
      </c>
      <c r="C43" s="7">
        <v>10</v>
      </c>
      <c r="D43" s="7">
        <v>-1</v>
      </c>
      <c r="E43" s="7"/>
      <c r="F43" s="7">
        <v>75</v>
      </c>
      <c r="G43" s="7"/>
      <c r="H43" s="7">
        <v>0</v>
      </c>
      <c r="I43" s="13">
        <v>4</v>
      </c>
      <c r="J43" s="7"/>
      <c r="K43" s="7">
        <v>-1</v>
      </c>
      <c r="L43" s="7">
        <v>-1</v>
      </c>
      <c r="M43" s="7">
        <v>-1</v>
      </c>
    </row>
    <row r="44" spans="1:14">
      <c r="A44" s="7" t="s">
        <v>321</v>
      </c>
      <c r="B44" s="7" t="s">
        <v>25</v>
      </c>
      <c r="C44" s="7">
        <v>20</v>
      </c>
      <c r="D44" s="7">
        <v>-1</v>
      </c>
      <c r="E44" s="7"/>
      <c r="F44" s="7">
        <v>75</v>
      </c>
      <c r="G44" s="7"/>
      <c r="H44" s="7">
        <v>0</v>
      </c>
      <c r="I44" s="7">
        <v>4</v>
      </c>
      <c r="J44" s="7"/>
      <c r="K44" s="7">
        <v>-1</v>
      </c>
      <c r="L44" s="7">
        <v>-1</v>
      </c>
      <c r="M44" s="7">
        <v>-1</v>
      </c>
    </row>
    <row r="45" spans="1:14">
      <c r="A45" s="7" t="s">
        <v>322</v>
      </c>
      <c r="B45" s="7" t="s">
        <v>25</v>
      </c>
      <c r="C45" s="7">
        <v>30</v>
      </c>
      <c r="D45" s="7">
        <v>-1</v>
      </c>
      <c r="E45" s="7"/>
      <c r="F45" s="7">
        <v>75</v>
      </c>
      <c r="G45" s="7"/>
      <c r="H45" s="7">
        <v>0</v>
      </c>
      <c r="I45" s="13">
        <v>4</v>
      </c>
      <c r="J45" s="7"/>
      <c r="K45" s="7">
        <v>-1</v>
      </c>
      <c r="L45" s="7">
        <v>-1</v>
      </c>
      <c r="M45" s="7">
        <v>-1</v>
      </c>
    </row>
    <row r="46" spans="1:14">
      <c r="A46" s="7" t="s">
        <v>323</v>
      </c>
      <c r="B46" s="7" t="s">
        <v>25</v>
      </c>
      <c r="C46" s="7">
        <v>40</v>
      </c>
      <c r="D46" s="7">
        <v>-1</v>
      </c>
      <c r="E46" s="7"/>
      <c r="F46" s="7">
        <v>75</v>
      </c>
      <c r="G46" s="7"/>
      <c r="H46" s="7">
        <v>0</v>
      </c>
      <c r="I46" s="7">
        <v>4</v>
      </c>
      <c r="J46" s="7"/>
      <c r="K46" s="7">
        <v>-1</v>
      </c>
      <c r="L46" s="7">
        <v>-1</v>
      </c>
      <c r="M46" s="7">
        <v>-1</v>
      </c>
    </row>
    <row r="47" spans="1:14">
      <c r="A47" s="5" t="s">
        <v>324</v>
      </c>
      <c r="B47" s="5" t="s">
        <v>93</v>
      </c>
      <c r="C47" s="5">
        <v>5</v>
      </c>
      <c r="D47" s="5">
        <v>0</v>
      </c>
      <c r="E47" s="5"/>
      <c r="F47" s="5">
        <v>75</v>
      </c>
      <c r="G47" s="5"/>
      <c r="H47" s="5">
        <v>1</v>
      </c>
      <c r="I47" s="5">
        <v>5</v>
      </c>
      <c r="J47" s="5"/>
      <c r="K47" s="5">
        <v>428</v>
      </c>
      <c r="L47" s="5"/>
      <c r="M47" s="5">
        <v>9999</v>
      </c>
    </row>
    <row r="48" spans="1:14">
      <c r="A48" s="5" t="s">
        <v>325</v>
      </c>
      <c r="B48" s="5" t="s">
        <v>93</v>
      </c>
      <c r="C48" s="5">
        <v>10</v>
      </c>
      <c r="D48" s="5">
        <v>1</v>
      </c>
      <c r="E48" s="5"/>
      <c r="F48" s="5">
        <v>75</v>
      </c>
      <c r="G48" s="5"/>
      <c r="H48" s="5">
        <v>1</v>
      </c>
      <c r="I48" s="5">
        <v>5</v>
      </c>
      <c r="J48" s="5"/>
      <c r="K48" s="5">
        <v>237</v>
      </c>
      <c r="L48" s="5"/>
      <c r="M48" s="5">
        <v>187</v>
      </c>
    </row>
    <row r="49" spans="1:13">
      <c r="A49" s="5" t="s">
        <v>326</v>
      </c>
      <c r="B49" s="5" t="s">
        <v>93</v>
      </c>
      <c r="C49" s="5">
        <v>40</v>
      </c>
      <c r="D49" s="5">
        <v>0</v>
      </c>
      <c r="E49" s="5"/>
      <c r="F49" s="5">
        <v>75</v>
      </c>
      <c r="G49" s="5"/>
      <c r="H49" s="5">
        <v>1</v>
      </c>
      <c r="I49" s="5">
        <v>5</v>
      </c>
      <c r="J49" s="5"/>
      <c r="K49" s="5">
        <v>76</v>
      </c>
      <c r="L49" s="5"/>
      <c r="M49" s="5">
        <v>71</v>
      </c>
    </row>
    <row r="50" spans="1:13">
      <c r="A50" s="5" t="s">
        <v>327</v>
      </c>
      <c r="B50" s="5" t="s">
        <v>93</v>
      </c>
      <c r="C50" s="5">
        <v>20</v>
      </c>
      <c r="D50" s="5">
        <v>0</v>
      </c>
      <c r="E50" s="5"/>
      <c r="F50" s="5">
        <v>75</v>
      </c>
      <c r="G50" s="5"/>
      <c r="H50" s="5">
        <v>1</v>
      </c>
      <c r="I50" s="5">
        <v>5</v>
      </c>
      <c r="J50" s="5"/>
      <c r="K50" s="5">
        <v>109</v>
      </c>
      <c r="L50" s="5"/>
      <c r="M50" s="5">
        <v>111</v>
      </c>
    </row>
    <row r="51" spans="1:13">
      <c r="A51" s="5" t="s">
        <v>328</v>
      </c>
      <c r="B51" s="5" t="s">
        <v>93</v>
      </c>
      <c r="C51" s="5">
        <v>30</v>
      </c>
      <c r="D51" s="5">
        <v>0</v>
      </c>
      <c r="E51" s="5"/>
      <c r="F51" s="5">
        <v>75</v>
      </c>
      <c r="G51" s="5"/>
      <c r="H51" s="5">
        <v>1</v>
      </c>
      <c r="I51" s="5">
        <v>5</v>
      </c>
      <c r="J51" s="5"/>
      <c r="K51" s="5">
        <v>76</v>
      </c>
      <c r="L51" s="5"/>
      <c r="M51" s="5">
        <v>76</v>
      </c>
    </row>
    <row r="52" spans="1:13">
      <c r="A52" s="5" t="s">
        <v>329</v>
      </c>
      <c r="B52" s="5" t="s">
        <v>93</v>
      </c>
      <c r="C52" s="5">
        <v>5</v>
      </c>
      <c r="D52" s="5">
        <v>0</v>
      </c>
      <c r="E52" s="5"/>
      <c r="F52" s="5">
        <v>75</v>
      </c>
      <c r="G52" s="5"/>
      <c r="H52" s="5">
        <v>2</v>
      </c>
      <c r="I52" s="5">
        <v>5</v>
      </c>
      <c r="J52" s="5"/>
      <c r="K52" s="5">
        <v>428</v>
      </c>
      <c r="L52" s="5"/>
      <c r="M52" s="5">
        <v>9999</v>
      </c>
    </row>
    <row r="53" spans="1:13">
      <c r="A53" s="5" t="s">
        <v>330</v>
      </c>
      <c r="B53" s="5" t="s">
        <v>93</v>
      </c>
      <c r="C53" s="5">
        <v>5</v>
      </c>
      <c r="D53" s="5">
        <v>-1</v>
      </c>
      <c r="E53" s="5"/>
      <c r="F53" s="5">
        <v>75</v>
      </c>
      <c r="G53" s="5"/>
      <c r="H53" s="5">
        <v>0</v>
      </c>
      <c r="I53" s="5">
        <v>5</v>
      </c>
      <c r="J53" s="5"/>
      <c r="K53" s="5">
        <v>-1</v>
      </c>
      <c r="L53" s="5">
        <v>-1</v>
      </c>
      <c r="M53" s="5">
        <v>-1</v>
      </c>
    </row>
    <row r="54" spans="1:13">
      <c r="A54" s="5" t="s">
        <v>331</v>
      </c>
      <c r="B54" s="5" t="s">
        <v>93</v>
      </c>
      <c r="C54" s="5">
        <v>10</v>
      </c>
      <c r="D54" s="5">
        <v>-1</v>
      </c>
      <c r="E54" s="5"/>
      <c r="F54" s="5">
        <v>75</v>
      </c>
      <c r="G54" s="5"/>
      <c r="H54" s="5">
        <v>0</v>
      </c>
      <c r="I54" s="5">
        <v>5</v>
      </c>
      <c r="J54" s="5"/>
      <c r="K54" s="5">
        <v>-1</v>
      </c>
      <c r="L54" s="5">
        <v>-1</v>
      </c>
      <c r="M54" s="5">
        <v>-1</v>
      </c>
    </row>
    <row r="55" spans="1:13">
      <c r="A55" s="5" t="s">
        <v>332</v>
      </c>
      <c r="B55" s="5" t="s">
        <v>93</v>
      </c>
      <c r="C55" s="5">
        <v>20</v>
      </c>
      <c r="D55" s="5">
        <v>-1</v>
      </c>
      <c r="E55" s="5"/>
      <c r="F55" s="5">
        <v>75</v>
      </c>
      <c r="G55" s="5"/>
      <c r="H55" s="5">
        <v>0</v>
      </c>
      <c r="I55" s="5">
        <v>5</v>
      </c>
      <c r="J55" s="5"/>
      <c r="K55" s="5">
        <v>-1</v>
      </c>
      <c r="L55" s="5">
        <v>-1</v>
      </c>
      <c r="M55" s="5">
        <v>-1</v>
      </c>
    </row>
    <row r="56" spans="1:13">
      <c r="A56" s="5" t="s">
        <v>333</v>
      </c>
      <c r="B56" s="5" t="s">
        <v>93</v>
      </c>
      <c r="C56" s="5">
        <v>30</v>
      </c>
      <c r="D56" s="5">
        <v>-1</v>
      </c>
      <c r="E56" s="5"/>
      <c r="F56" s="5">
        <v>75</v>
      </c>
      <c r="G56" s="5"/>
      <c r="H56" s="5">
        <v>0</v>
      </c>
      <c r="I56" s="5">
        <v>5</v>
      </c>
      <c r="J56" s="5"/>
      <c r="K56" s="5">
        <v>-1</v>
      </c>
      <c r="L56" s="5">
        <v>-1</v>
      </c>
      <c r="M56" s="5">
        <v>-1</v>
      </c>
    </row>
    <row r="57" spans="1:13">
      <c r="A57" s="5" t="s">
        <v>334</v>
      </c>
      <c r="B57" s="5" t="s">
        <v>93</v>
      </c>
      <c r="C57" s="5">
        <v>40</v>
      </c>
      <c r="D57" s="5">
        <v>-1</v>
      </c>
      <c r="E57" s="5"/>
      <c r="F57" s="5">
        <v>75</v>
      </c>
      <c r="G57" s="5"/>
      <c r="H57" s="5">
        <v>0</v>
      </c>
      <c r="I57" s="5">
        <v>5</v>
      </c>
      <c r="J57" s="5"/>
      <c r="K57" s="5">
        <v>-1</v>
      </c>
      <c r="L57" s="5">
        <v>-1</v>
      </c>
      <c r="M57" s="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5"/>
  <sheetViews>
    <sheetView topLeftCell="A37" workbookViewId="0">
      <selection activeCell="G37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335</v>
      </c>
      <c r="B2" s="10" t="s">
        <v>10</v>
      </c>
      <c r="C2" s="10">
        <v>40</v>
      </c>
      <c r="D2" s="5">
        <v>0</v>
      </c>
      <c r="E2" s="5"/>
      <c r="F2" s="5">
        <v>150</v>
      </c>
      <c r="G2" s="9"/>
      <c r="H2" s="5">
        <v>1</v>
      </c>
      <c r="I2" s="5">
        <v>1</v>
      </c>
      <c r="J2" s="5">
        <f>MAX(I:I)</f>
        <v>4</v>
      </c>
      <c r="K2" s="5">
        <v>76</v>
      </c>
      <c r="L2" s="5"/>
      <c r="M2" s="5">
        <v>60</v>
      </c>
    </row>
    <row r="3" spans="1:13">
      <c r="A3" s="9" t="s">
        <v>336</v>
      </c>
      <c r="B3" s="10" t="s">
        <v>10</v>
      </c>
      <c r="C3" s="10">
        <v>20</v>
      </c>
      <c r="D3" s="10">
        <v>0</v>
      </c>
      <c r="E3" s="10"/>
      <c r="F3" s="5">
        <v>150</v>
      </c>
      <c r="G3" s="5"/>
      <c r="H3" s="5">
        <v>1</v>
      </c>
      <c r="I3" s="5">
        <v>1</v>
      </c>
      <c r="J3" s="5"/>
      <c r="K3" s="5">
        <v>108</v>
      </c>
      <c r="L3" s="5"/>
      <c r="M3" s="5">
        <v>108</v>
      </c>
    </row>
    <row r="4" spans="1:13">
      <c r="A4" s="9" t="s">
        <v>337</v>
      </c>
      <c r="B4" s="10" t="s">
        <v>10</v>
      </c>
      <c r="C4" s="10">
        <v>10</v>
      </c>
      <c r="D4" s="10">
        <v>0</v>
      </c>
      <c r="E4" s="10"/>
      <c r="F4" s="5">
        <v>150</v>
      </c>
      <c r="G4" s="5"/>
      <c r="H4" s="5">
        <v>1</v>
      </c>
      <c r="I4" s="5">
        <v>1</v>
      </c>
      <c r="J4" s="5"/>
      <c r="K4" s="5">
        <v>237</v>
      </c>
      <c r="L4" s="5"/>
      <c r="M4" s="5">
        <v>206</v>
      </c>
    </row>
    <row r="5" spans="1:13">
      <c r="A5" s="5" t="s">
        <v>338</v>
      </c>
      <c r="B5" s="10" t="s">
        <v>10</v>
      </c>
      <c r="C5" s="5">
        <v>5</v>
      </c>
      <c r="D5" s="5">
        <v>0</v>
      </c>
      <c r="E5" s="5"/>
      <c r="F5" s="5">
        <v>150</v>
      </c>
      <c r="G5" s="5"/>
      <c r="H5" s="5">
        <v>1</v>
      </c>
      <c r="I5" s="5">
        <v>1</v>
      </c>
      <c r="J5" s="5"/>
      <c r="K5" s="5">
        <v>428</v>
      </c>
      <c r="L5" s="5"/>
      <c r="M5" s="5">
        <v>400</v>
      </c>
    </row>
    <row r="6" spans="1:13">
      <c r="A6" s="5" t="s">
        <v>339</v>
      </c>
      <c r="B6" s="10" t="s">
        <v>10</v>
      </c>
      <c r="C6" s="5">
        <v>30</v>
      </c>
      <c r="D6" s="5">
        <v>0</v>
      </c>
      <c r="E6" s="5"/>
      <c r="F6" s="5">
        <v>150</v>
      </c>
      <c r="G6" s="5"/>
      <c r="H6" s="5">
        <v>1</v>
      </c>
      <c r="I6" s="5">
        <v>1</v>
      </c>
      <c r="J6" s="5"/>
      <c r="K6" s="5">
        <v>77</v>
      </c>
      <c r="L6" s="5"/>
      <c r="M6" s="5">
        <v>73</v>
      </c>
    </row>
    <row r="7" spans="1:13">
      <c r="A7" s="5" t="s">
        <v>340</v>
      </c>
      <c r="B7" s="10" t="s">
        <v>10</v>
      </c>
      <c r="C7" s="5">
        <v>40</v>
      </c>
      <c r="D7" s="5">
        <v>0</v>
      </c>
      <c r="E7" s="5"/>
      <c r="F7" s="5">
        <v>150</v>
      </c>
      <c r="G7" s="5"/>
      <c r="H7" s="5">
        <v>2</v>
      </c>
      <c r="I7" s="5">
        <v>1</v>
      </c>
      <c r="J7" s="5"/>
      <c r="K7" s="5">
        <v>77</v>
      </c>
      <c r="L7" s="5"/>
      <c r="M7" s="5">
        <v>60</v>
      </c>
    </row>
    <row r="8" spans="1:13">
      <c r="A8" s="5" t="s">
        <v>341</v>
      </c>
      <c r="B8" s="10" t="s">
        <v>10</v>
      </c>
      <c r="C8" s="5">
        <v>5</v>
      </c>
      <c r="D8" s="5"/>
      <c r="E8" s="5"/>
      <c r="F8" s="5">
        <v>150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342</v>
      </c>
      <c r="B9" s="10" t="s">
        <v>10</v>
      </c>
      <c r="C9" s="5">
        <v>10</v>
      </c>
      <c r="D9" s="5"/>
      <c r="E9" s="5"/>
      <c r="F9" s="5">
        <v>150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343</v>
      </c>
      <c r="B10" s="10" t="s">
        <v>10</v>
      </c>
      <c r="C10" s="5">
        <v>20</v>
      </c>
      <c r="D10" s="5"/>
      <c r="E10" s="5"/>
      <c r="F10" s="5">
        <v>150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344</v>
      </c>
      <c r="B11" s="10" t="s">
        <v>10</v>
      </c>
      <c r="C11" s="5">
        <v>30</v>
      </c>
      <c r="D11" s="5"/>
      <c r="E11" s="5"/>
      <c r="F11" s="5">
        <v>150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4" t="s">
        <v>345</v>
      </c>
      <c r="B12" s="10" t="s">
        <v>10</v>
      </c>
      <c r="C12" s="4">
        <v>40</v>
      </c>
      <c r="D12" s="5"/>
      <c r="E12" s="5"/>
      <c r="F12" s="5">
        <v>150</v>
      </c>
      <c r="G12" s="4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8" t="s">
        <v>346</v>
      </c>
      <c r="B13" s="7" t="s">
        <v>25</v>
      </c>
      <c r="C13" s="8">
        <v>5</v>
      </c>
      <c r="D13" s="7">
        <v>0</v>
      </c>
      <c r="E13" s="7"/>
      <c r="F13" s="7">
        <v>75</v>
      </c>
      <c r="G13" s="8"/>
      <c r="H13" s="7">
        <v>1</v>
      </c>
      <c r="I13" s="7">
        <v>2</v>
      </c>
      <c r="J13" s="7"/>
      <c r="K13" s="7">
        <v>428</v>
      </c>
      <c r="L13" s="7"/>
      <c r="M13" s="7">
        <v>9999</v>
      </c>
    </row>
    <row r="14" spans="1:13">
      <c r="A14" s="8" t="s">
        <v>347</v>
      </c>
      <c r="B14" s="7" t="s">
        <v>25</v>
      </c>
      <c r="C14" s="8">
        <v>20</v>
      </c>
      <c r="D14" s="7">
        <v>0</v>
      </c>
      <c r="E14" s="7"/>
      <c r="F14" s="7">
        <v>75</v>
      </c>
      <c r="G14" s="8"/>
      <c r="H14" s="7">
        <v>1</v>
      </c>
      <c r="I14" s="7">
        <v>2</v>
      </c>
      <c r="J14" s="7"/>
      <c r="K14" s="7">
        <v>108</v>
      </c>
      <c r="L14" s="7"/>
      <c r="M14" s="7">
        <v>109</v>
      </c>
    </row>
    <row r="15" spans="1:13">
      <c r="A15" s="8" t="s">
        <v>348</v>
      </c>
      <c r="B15" s="7" t="s">
        <v>25</v>
      </c>
      <c r="C15" s="8">
        <v>10</v>
      </c>
      <c r="D15" s="7">
        <v>0</v>
      </c>
      <c r="E15" s="7"/>
      <c r="F15" s="7">
        <v>75</v>
      </c>
      <c r="G15" s="7"/>
      <c r="H15" s="7">
        <v>1</v>
      </c>
      <c r="I15" s="7">
        <v>2</v>
      </c>
      <c r="J15" s="7"/>
      <c r="K15" s="7">
        <v>238</v>
      </c>
      <c r="L15" s="7"/>
      <c r="M15" s="7">
        <v>210</v>
      </c>
    </row>
    <row r="16" spans="1:13">
      <c r="A16" s="8" t="s">
        <v>349</v>
      </c>
      <c r="B16" s="7" t="s">
        <v>25</v>
      </c>
      <c r="C16" s="8">
        <v>40</v>
      </c>
      <c r="D16" s="7">
        <v>0</v>
      </c>
      <c r="E16" s="7"/>
      <c r="F16" s="7">
        <v>75</v>
      </c>
      <c r="G16" s="8"/>
      <c r="H16" s="7">
        <v>1</v>
      </c>
      <c r="I16" s="7">
        <v>2</v>
      </c>
      <c r="J16" s="7"/>
      <c r="K16" s="7">
        <v>77</v>
      </c>
      <c r="L16" s="7"/>
      <c r="M16" s="7">
        <v>62</v>
      </c>
    </row>
    <row r="17" spans="1:13">
      <c r="A17" s="8" t="s">
        <v>350</v>
      </c>
      <c r="B17" s="7" t="s">
        <v>25</v>
      </c>
      <c r="C17" s="8">
        <v>30</v>
      </c>
      <c r="D17" s="7">
        <v>0</v>
      </c>
      <c r="E17" s="7"/>
      <c r="F17" s="7">
        <v>75</v>
      </c>
      <c r="G17" s="8"/>
      <c r="H17" s="7">
        <v>1</v>
      </c>
      <c r="I17" s="7">
        <v>2</v>
      </c>
      <c r="J17" s="7"/>
      <c r="K17" s="7">
        <v>77</v>
      </c>
      <c r="L17" s="7"/>
      <c r="M17" s="7">
        <v>78</v>
      </c>
    </row>
    <row r="18" spans="1:13">
      <c r="A18" s="8" t="s">
        <v>351</v>
      </c>
      <c r="B18" s="7" t="s">
        <v>25</v>
      </c>
      <c r="C18" s="8">
        <v>5</v>
      </c>
      <c r="D18" s="7">
        <v>0</v>
      </c>
      <c r="E18" s="7"/>
      <c r="F18" s="7">
        <v>75</v>
      </c>
      <c r="G18" s="8"/>
      <c r="H18" s="7">
        <v>2</v>
      </c>
      <c r="I18" s="7">
        <v>2</v>
      </c>
      <c r="J18" s="7"/>
      <c r="K18" s="7">
        <v>428</v>
      </c>
      <c r="L18" s="7"/>
      <c r="M18" s="7">
        <v>411</v>
      </c>
    </row>
    <row r="19" spans="1:13">
      <c r="A19" s="8" t="s">
        <v>352</v>
      </c>
      <c r="B19" s="7" t="s">
        <v>25</v>
      </c>
      <c r="C19" s="8">
        <v>5</v>
      </c>
      <c r="D19" s="7"/>
      <c r="E19" s="7"/>
      <c r="F19" s="7">
        <v>75</v>
      </c>
      <c r="G19" s="8"/>
      <c r="H19" s="7">
        <v>0</v>
      </c>
      <c r="I19" s="7">
        <v>2</v>
      </c>
      <c r="J19" s="7"/>
      <c r="K19" s="7">
        <v>-1</v>
      </c>
      <c r="L19" s="7">
        <v>-1</v>
      </c>
      <c r="M19" s="7">
        <v>-1</v>
      </c>
    </row>
    <row r="20" spans="1:13">
      <c r="A20" s="7" t="s">
        <v>353</v>
      </c>
      <c r="B20" s="7" t="s">
        <v>25</v>
      </c>
      <c r="C20" s="7">
        <v>10</v>
      </c>
      <c r="D20" s="7"/>
      <c r="E20" s="7"/>
      <c r="F20" s="7">
        <v>75</v>
      </c>
      <c r="G20" s="7"/>
      <c r="H20" s="7">
        <v>0</v>
      </c>
      <c r="I20" s="7">
        <v>2</v>
      </c>
      <c r="J20" s="7"/>
      <c r="K20" s="7">
        <v>-1</v>
      </c>
      <c r="L20" s="7">
        <v>-1</v>
      </c>
      <c r="M20" s="7">
        <v>-1</v>
      </c>
    </row>
    <row r="21" spans="1:13">
      <c r="A21" s="7" t="s">
        <v>354</v>
      </c>
      <c r="B21" s="7" t="s">
        <v>25</v>
      </c>
      <c r="C21" s="7">
        <v>20</v>
      </c>
      <c r="D21" s="7"/>
      <c r="E21" s="7"/>
      <c r="F21" s="7">
        <v>75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355</v>
      </c>
      <c r="B22" s="7" t="s">
        <v>25</v>
      </c>
      <c r="C22" s="7">
        <v>30</v>
      </c>
      <c r="D22" s="7"/>
      <c r="E22" s="7"/>
      <c r="F22" s="7">
        <v>75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356</v>
      </c>
      <c r="B23" s="7" t="s">
        <v>25</v>
      </c>
      <c r="C23" s="7">
        <v>40</v>
      </c>
      <c r="D23" s="7"/>
      <c r="E23" s="7"/>
      <c r="F23" s="7">
        <v>75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5" t="s">
        <v>357</v>
      </c>
      <c r="B24" s="4" t="s">
        <v>93</v>
      </c>
      <c r="C24" s="5">
        <v>10</v>
      </c>
      <c r="D24" s="5">
        <v>1</v>
      </c>
      <c r="E24" s="5"/>
      <c r="F24" s="4">
        <v>250</v>
      </c>
      <c r="G24" s="5"/>
      <c r="H24" s="5">
        <v>1</v>
      </c>
      <c r="I24" s="5">
        <v>3</v>
      </c>
      <c r="J24" s="5"/>
      <c r="K24" s="5">
        <v>237</v>
      </c>
      <c r="L24" s="5">
        <v>203</v>
      </c>
      <c r="M24" s="5">
        <v>193</v>
      </c>
    </row>
    <row r="25" spans="1:13">
      <c r="A25" s="5" t="s">
        <v>358</v>
      </c>
      <c r="B25" s="4" t="s">
        <v>93</v>
      </c>
      <c r="C25" s="5">
        <v>5</v>
      </c>
      <c r="D25" s="5">
        <v>1</v>
      </c>
      <c r="E25" s="5"/>
      <c r="F25" s="4">
        <v>250</v>
      </c>
      <c r="G25" s="5"/>
      <c r="H25" s="5">
        <v>1</v>
      </c>
      <c r="I25" s="5">
        <v>3</v>
      </c>
      <c r="J25" s="5"/>
      <c r="K25" s="5">
        <v>364</v>
      </c>
      <c r="L25" s="5">
        <v>334</v>
      </c>
      <c r="M25" s="5">
        <v>313</v>
      </c>
    </row>
    <row r="26" spans="1:13">
      <c r="A26" s="5" t="s">
        <v>359</v>
      </c>
      <c r="B26" s="4" t="s">
        <v>93</v>
      </c>
      <c r="C26" s="5">
        <v>20</v>
      </c>
      <c r="D26" s="5">
        <v>1</v>
      </c>
      <c r="E26" s="5"/>
      <c r="F26" s="4">
        <v>250</v>
      </c>
      <c r="G26" s="5"/>
      <c r="H26" s="5">
        <v>1</v>
      </c>
      <c r="I26" s="5">
        <v>3</v>
      </c>
      <c r="J26" s="5"/>
      <c r="K26" s="5">
        <v>108</v>
      </c>
      <c r="L26" s="5"/>
      <c r="M26" s="5">
        <v>64</v>
      </c>
    </row>
    <row r="27" spans="1:13">
      <c r="A27" s="5" t="s">
        <v>360</v>
      </c>
      <c r="B27" s="4" t="s">
        <v>93</v>
      </c>
      <c r="C27" s="5">
        <v>40</v>
      </c>
      <c r="D27" s="5">
        <v>1</v>
      </c>
      <c r="E27" s="5"/>
      <c r="F27" s="4">
        <v>250</v>
      </c>
      <c r="G27" s="5"/>
      <c r="H27" s="5">
        <v>1</v>
      </c>
      <c r="I27" s="5">
        <v>3</v>
      </c>
      <c r="J27" s="5"/>
      <c r="K27" s="5">
        <v>77</v>
      </c>
      <c r="L27" s="5"/>
      <c r="M27" s="5">
        <v>51</v>
      </c>
    </row>
    <row r="28" spans="1:13">
      <c r="A28" s="5" t="s">
        <v>361</v>
      </c>
      <c r="B28" s="4" t="s">
        <v>93</v>
      </c>
      <c r="C28" s="5">
        <v>30</v>
      </c>
      <c r="D28" s="5">
        <v>1</v>
      </c>
      <c r="E28" s="5"/>
      <c r="F28" s="4">
        <v>250</v>
      </c>
      <c r="G28" s="11"/>
      <c r="H28" s="5">
        <v>1</v>
      </c>
      <c r="I28" s="5">
        <v>3</v>
      </c>
      <c r="J28" s="5"/>
      <c r="K28" s="5">
        <v>77</v>
      </c>
      <c r="L28" s="5"/>
      <c r="M28" s="5">
        <v>60</v>
      </c>
    </row>
    <row r="29" spans="1:13">
      <c r="A29" s="5" t="s">
        <v>362</v>
      </c>
      <c r="B29" s="4" t="s">
        <v>93</v>
      </c>
      <c r="C29" s="5">
        <v>10</v>
      </c>
      <c r="D29" s="5">
        <v>1</v>
      </c>
      <c r="E29" s="5"/>
      <c r="F29" s="4">
        <v>250</v>
      </c>
      <c r="G29" s="5"/>
      <c r="H29" s="5">
        <v>2</v>
      </c>
      <c r="I29" s="5">
        <v>3</v>
      </c>
      <c r="J29" s="5"/>
      <c r="K29" s="5">
        <v>236</v>
      </c>
      <c r="L29" s="5">
        <v>202</v>
      </c>
      <c r="M29" s="5">
        <v>189</v>
      </c>
    </row>
    <row r="30" spans="1:13">
      <c r="A30" s="5" t="s">
        <v>363</v>
      </c>
      <c r="B30" s="4" t="s">
        <v>93</v>
      </c>
      <c r="C30" s="5">
        <v>5</v>
      </c>
      <c r="D30" s="5"/>
      <c r="E30" s="5"/>
      <c r="F30" s="4">
        <v>250</v>
      </c>
      <c r="G30" s="5"/>
      <c r="H30" s="5">
        <v>0</v>
      </c>
      <c r="I30" s="5">
        <v>3</v>
      </c>
      <c r="J30" s="5"/>
      <c r="K30" s="5">
        <v>431</v>
      </c>
      <c r="L30" s="5"/>
      <c r="M30" s="5"/>
    </row>
    <row r="31" spans="1:13">
      <c r="A31" s="5" t="s">
        <v>364</v>
      </c>
      <c r="B31" s="4" t="s">
        <v>93</v>
      </c>
      <c r="C31" s="5">
        <v>10</v>
      </c>
      <c r="D31" s="5"/>
      <c r="E31" s="5"/>
      <c r="F31" s="4">
        <v>250</v>
      </c>
      <c r="G31" s="5"/>
      <c r="H31" s="5">
        <v>0</v>
      </c>
      <c r="I31" s="5">
        <v>3</v>
      </c>
      <c r="J31" s="5"/>
      <c r="K31" s="5">
        <v>240</v>
      </c>
      <c r="L31" s="5"/>
      <c r="M31" s="5"/>
    </row>
    <row r="32" spans="1:13">
      <c r="A32" s="5" t="s">
        <v>365</v>
      </c>
      <c r="B32" s="4" t="s">
        <v>93</v>
      </c>
      <c r="C32" s="5">
        <v>20</v>
      </c>
      <c r="D32" s="5"/>
      <c r="E32" s="5"/>
      <c r="F32" s="4">
        <v>250</v>
      </c>
      <c r="G32" s="5"/>
      <c r="H32" s="5">
        <v>0</v>
      </c>
      <c r="I32" s="5">
        <v>3</v>
      </c>
      <c r="J32" s="5"/>
      <c r="K32" s="5">
        <v>113</v>
      </c>
      <c r="L32" s="5"/>
      <c r="M32" s="5"/>
    </row>
    <row r="33" spans="1:13">
      <c r="A33" s="5" t="s">
        <v>366</v>
      </c>
      <c r="B33" s="4" t="s">
        <v>93</v>
      </c>
      <c r="C33" s="5">
        <v>30</v>
      </c>
      <c r="D33" s="5"/>
      <c r="E33" s="5"/>
      <c r="F33" s="4">
        <v>250</v>
      </c>
      <c r="G33" s="5"/>
      <c r="H33" s="5">
        <v>0</v>
      </c>
      <c r="I33" s="5">
        <v>3</v>
      </c>
      <c r="J33" s="5"/>
      <c r="K33" s="5">
        <v>80</v>
      </c>
      <c r="L33" s="5"/>
      <c r="M33" s="5"/>
    </row>
    <row r="34" spans="1:13">
      <c r="A34" s="5" t="s">
        <v>367</v>
      </c>
      <c r="B34" s="4" t="s">
        <v>93</v>
      </c>
      <c r="C34" s="5">
        <v>40</v>
      </c>
      <c r="D34" s="5"/>
      <c r="E34" s="5"/>
      <c r="F34" s="4">
        <v>250</v>
      </c>
      <c r="G34" s="5"/>
      <c r="H34" s="5">
        <v>0</v>
      </c>
      <c r="I34" s="5">
        <v>3</v>
      </c>
      <c r="J34" s="5"/>
      <c r="K34" s="5">
        <v>80</v>
      </c>
      <c r="L34" s="5"/>
      <c r="M34" s="5"/>
    </row>
    <row r="35" spans="1:13">
      <c r="A35" s="7" t="s">
        <v>368</v>
      </c>
      <c r="B35" s="7" t="s">
        <v>102</v>
      </c>
      <c r="C35" s="7">
        <v>40</v>
      </c>
      <c r="D35" s="7">
        <v>0</v>
      </c>
      <c r="E35" s="7"/>
      <c r="F35" s="7">
        <v>250</v>
      </c>
      <c r="G35" s="7"/>
      <c r="H35" s="7">
        <v>1</v>
      </c>
      <c r="I35" s="7">
        <v>4</v>
      </c>
      <c r="J35" s="7"/>
      <c r="K35" s="7">
        <v>77</v>
      </c>
      <c r="L35" s="7"/>
      <c r="M35" s="7">
        <v>53</v>
      </c>
    </row>
    <row r="36" spans="1:13">
      <c r="A36" s="7" t="s">
        <v>369</v>
      </c>
      <c r="B36" s="7" t="s">
        <v>102</v>
      </c>
      <c r="C36" s="7">
        <v>10</v>
      </c>
      <c r="D36" s="7">
        <v>1</v>
      </c>
      <c r="E36" s="7"/>
      <c r="F36" s="7">
        <v>250</v>
      </c>
      <c r="G36" s="7"/>
      <c r="H36" s="7">
        <v>1</v>
      </c>
      <c r="I36" s="7">
        <v>4</v>
      </c>
      <c r="J36" s="7"/>
      <c r="K36" s="7">
        <v>237</v>
      </c>
      <c r="L36" s="7"/>
      <c r="M36" s="7">
        <v>189</v>
      </c>
    </row>
    <row r="37" spans="1:13">
      <c r="A37" s="7" t="s">
        <v>370</v>
      </c>
      <c r="B37" s="7" t="s">
        <v>102</v>
      </c>
      <c r="C37" s="7">
        <v>20</v>
      </c>
      <c r="D37" s="7">
        <v>1</v>
      </c>
      <c r="E37" s="7"/>
      <c r="F37" s="7">
        <v>250</v>
      </c>
      <c r="G37" s="7"/>
      <c r="H37" s="7">
        <v>1</v>
      </c>
      <c r="I37" s="7">
        <v>4</v>
      </c>
      <c r="J37" s="7"/>
      <c r="K37" s="7">
        <v>109</v>
      </c>
      <c r="L37" s="7"/>
      <c r="M37" s="7">
        <v>38</v>
      </c>
    </row>
    <row r="38" spans="1:13">
      <c r="A38" s="7" t="s">
        <v>371</v>
      </c>
      <c r="B38" s="7" t="s">
        <v>102</v>
      </c>
      <c r="C38" s="7">
        <v>5</v>
      </c>
      <c r="D38" s="7">
        <v>1</v>
      </c>
      <c r="E38" s="7"/>
      <c r="F38" s="7">
        <v>250</v>
      </c>
      <c r="G38" s="7"/>
      <c r="H38" s="7">
        <v>1</v>
      </c>
      <c r="I38" s="7">
        <v>4</v>
      </c>
      <c r="J38" s="7"/>
      <c r="K38" s="7">
        <v>429</v>
      </c>
      <c r="L38" s="7"/>
      <c r="M38" s="7">
        <v>369</v>
      </c>
    </row>
    <row r="39" spans="1:13">
      <c r="A39" s="7" t="s">
        <v>372</v>
      </c>
      <c r="B39" s="7" t="s">
        <v>102</v>
      </c>
      <c r="C39" s="7">
        <v>30</v>
      </c>
      <c r="D39" s="7">
        <v>1</v>
      </c>
      <c r="E39" s="7"/>
      <c r="F39" s="7">
        <v>250</v>
      </c>
      <c r="G39" s="7"/>
      <c r="H39" s="7">
        <v>1</v>
      </c>
      <c r="I39" s="7">
        <v>4</v>
      </c>
      <c r="J39" s="7"/>
      <c r="K39" s="7">
        <v>77</v>
      </c>
      <c r="L39" s="7"/>
      <c r="M39" s="7">
        <v>11</v>
      </c>
    </row>
    <row r="40" spans="1:13">
      <c r="A40" s="7" t="s">
        <v>373</v>
      </c>
      <c r="B40" s="7" t="s">
        <v>102</v>
      </c>
      <c r="C40" s="7">
        <v>40</v>
      </c>
      <c r="D40" s="7">
        <v>1</v>
      </c>
      <c r="E40" s="7"/>
      <c r="F40" s="7">
        <v>250</v>
      </c>
      <c r="G40" s="7"/>
      <c r="H40" s="7">
        <v>2</v>
      </c>
      <c r="I40" s="7">
        <v>4</v>
      </c>
      <c r="J40" s="7"/>
      <c r="K40" s="7">
        <v>76</v>
      </c>
      <c r="L40" s="7"/>
      <c r="M40" s="7">
        <v>31</v>
      </c>
    </row>
    <row r="41" spans="1:13">
      <c r="A41" s="7" t="s">
        <v>374</v>
      </c>
      <c r="B41" s="7" t="s">
        <v>102</v>
      </c>
      <c r="C41" s="7">
        <v>10</v>
      </c>
      <c r="D41" s="7">
        <v>1</v>
      </c>
      <c r="E41" s="7"/>
      <c r="F41" s="7">
        <v>250</v>
      </c>
      <c r="G41" s="7"/>
      <c r="H41" s="7">
        <v>0</v>
      </c>
      <c r="I41" s="7">
        <v>4</v>
      </c>
      <c r="J41" s="7"/>
      <c r="K41" s="7">
        <v>237</v>
      </c>
      <c r="L41" s="7"/>
      <c r="M41" s="7">
        <v>188</v>
      </c>
    </row>
    <row r="42" spans="1:13">
      <c r="A42" s="7" t="s">
        <v>375</v>
      </c>
      <c r="B42" s="7" t="s">
        <v>102</v>
      </c>
      <c r="C42" s="7">
        <v>30</v>
      </c>
      <c r="D42" s="7">
        <v>1</v>
      </c>
      <c r="E42" s="7"/>
      <c r="F42" s="7">
        <v>250</v>
      </c>
      <c r="G42" s="7"/>
      <c r="H42" s="7">
        <v>0</v>
      </c>
      <c r="I42" s="7">
        <v>4</v>
      </c>
      <c r="J42" s="7"/>
      <c r="K42" s="7">
        <v>77</v>
      </c>
      <c r="L42" s="7"/>
      <c r="M42" s="7">
        <v>63</v>
      </c>
    </row>
    <row r="43" spans="1:13">
      <c r="A43" s="7" t="s">
        <v>376</v>
      </c>
      <c r="B43" s="7" t="s">
        <v>102</v>
      </c>
      <c r="C43" s="7">
        <v>40</v>
      </c>
      <c r="D43" s="7">
        <v>1</v>
      </c>
      <c r="E43" s="7"/>
      <c r="F43" s="7">
        <v>250</v>
      </c>
      <c r="G43" s="7"/>
      <c r="H43" s="7">
        <v>0</v>
      </c>
      <c r="I43" s="7">
        <v>4</v>
      </c>
      <c r="J43" s="7"/>
      <c r="K43" s="7"/>
      <c r="L43" s="7"/>
      <c r="M43" s="7"/>
    </row>
    <row r="44" spans="1:13">
      <c r="A44" s="7" t="s">
        <v>377</v>
      </c>
      <c r="B44" s="7" t="s">
        <v>102</v>
      </c>
      <c r="C44" s="7">
        <v>5</v>
      </c>
      <c r="D44" s="7"/>
      <c r="E44" s="7"/>
      <c r="F44" s="7">
        <v>250</v>
      </c>
      <c r="G44" s="7"/>
      <c r="H44" s="7">
        <v>0</v>
      </c>
      <c r="I44" s="7">
        <v>4</v>
      </c>
      <c r="J44" s="7"/>
      <c r="K44" s="7">
        <v>431</v>
      </c>
      <c r="L44" s="7">
        <f>407-4</f>
        <v>403</v>
      </c>
      <c r="M44" s="7">
        <f>L44*1/500</f>
        <v>0.80600000000000005</v>
      </c>
    </row>
    <row r="45" spans="1:13">
      <c r="A45" s="7" t="s">
        <v>378</v>
      </c>
      <c r="B45" s="7" t="s">
        <v>102</v>
      </c>
      <c r="C45" s="7">
        <v>10</v>
      </c>
      <c r="D45" s="7"/>
      <c r="E45" s="7"/>
      <c r="F45" s="7">
        <v>250</v>
      </c>
      <c r="G45" s="7"/>
      <c r="H45" s="7">
        <v>0</v>
      </c>
      <c r="I45" s="7">
        <v>4</v>
      </c>
      <c r="J45" s="7"/>
      <c r="K45" s="7">
        <v>239</v>
      </c>
      <c r="L45" s="7">
        <f>208-5</f>
        <v>203</v>
      </c>
      <c r="M45" s="7">
        <f t="shared" ref="M45:M51" si="0">L45*1/500</f>
        <v>0.40600000000000003</v>
      </c>
    </row>
    <row r="46" spans="1:13">
      <c r="A46" s="7" t="s">
        <v>379</v>
      </c>
      <c r="B46" s="7" t="s">
        <v>102</v>
      </c>
      <c r="C46" s="7">
        <v>20</v>
      </c>
      <c r="D46" s="7"/>
      <c r="E46" s="7"/>
      <c r="F46" s="7">
        <v>250</v>
      </c>
      <c r="G46" s="7"/>
      <c r="H46" s="7">
        <v>0</v>
      </c>
      <c r="I46" s="7">
        <v>4</v>
      </c>
      <c r="J46" s="7"/>
      <c r="K46" s="7">
        <v>112</v>
      </c>
      <c r="L46" s="7">
        <f>108-5</f>
        <v>103</v>
      </c>
      <c r="M46" s="7">
        <f t="shared" si="0"/>
        <v>0.20599999999999999</v>
      </c>
    </row>
    <row r="47" spans="1:13">
      <c r="A47" s="7" t="s">
        <v>380</v>
      </c>
      <c r="B47" s="7" t="s">
        <v>102</v>
      </c>
      <c r="C47" s="7">
        <v>30</v>
      </c>
      <c r="D47" s="7"/>
      <c r="E47" s="7"/>
      <c r="F47" s="7">
        <v>250</v>
      </c>
      <c r="G47" s="7"/>
      <c r="H47" s="7">
        <v>0</v>
      </c>
      <c r="I47" s="7">
        <v>4</v>
      </c>
      <c r="J47" s="7"/>
      <c r="K47" s="7">
        <v>80</v>
      </c>
      <c r="L47" s="7">
        <f>76-5</f>
        <v>71</v>
      </c>
      <c r="M47" s="7">
        <f t="shared" si="0"/>
        <v>0.14199999999999999</v>
      </c>
    </row>
    <row r="48" spans="1:13">
      <c r="A48" s="7" t="s">
        <v>381</v>
      </c>
      <c r="B48" s="7" t="s">
        <v>102</v>
      </c>
      <c r="C48" s="7">
        <v>40</v>
      </c>
      <c r="D48" s="7"/>
      <c r="E48" s="7"/>
      <c r="F48" s="7">
        <v>250</v>
      </c>
      <c r="G48" s="7"/>
      <c r="H48" s="7">
        <v>0</v>
      </c>
      <c r="I48" s="7">
        <v>4</v>
      </c>
      <c r="J48" s="7"/>
      <c r="K48" s="7">
        <v>80</v>
      </c>
      <c r="L48" s="7">
        <f>61-5</f>
        <v>56</v>
      </c>
      <c r="M48" s="7">
        <f t="shared" si="0"/>
        <v>0.112</v>
      </c>
    </row>
    <row r="49" spans="1:13">
      <c r="A49" s="7" t="s">
        <v>382</v>
      </c>
      <c r="B49" s="7" t="s">
        <v>102</v>
      </c>
      <c r="C49" s="7">
        <v>50</v>
      </c>
      <c r="D49" s="7"/>
      <c r="E49" s="7"/>
      <c r="F49" s="7">
        <v>250</v>
      </c>
      <c r="G49" s="7"/>
      <c r="H49" s="7">
        <v>0</v>
      </c>
      <c r="I49" s="7">
        <v>4</v>
      </c>
      <c r="J49" s="7"/>
      <c r="K49" s="7">
        <v>80</v>
      </c>
      <c r="L49" s="7">
        <f>50-5</f>
        <v>45</v>
      </c>
      <c r="M49" s="7">
        <f t="shared" si="0"/>
        <v>0.09</v>
      </c>
    </row>
    <row r="50" spans="1:13">
      <c r="A50" s="7" t="s">
        <v>383</v>
      </c>
      <c r="B50" s="7" t="s">
        <v>102</v>
      </c>
      <c r="C50" s="7">
        <v>70</v>
      </c>
      <c r="D50" s="7"/>
      <c r="E50" s="7"/>
      <c r="F50" s="7">
        <v>250</v>
      </c>
      <c r="G50" s="7"/>
      <c r="H50" s="7">
        <v>0</v>
      </c>
      <c r="I50" s="7">
        <v>4</v>
      </c>
      <c r="J50" s="7"/>
      <c r="K50" s="7">
        <v>48</v>
      </c>
      <c r="L50" s="7">
        <f>42-5</f>
        <v>37</v>
      </c>
      <c r="M50" s="7">
        <f t="shared" si="0"/>
        <v>7.3999999999999996E-2</v>
      </c>
    </row>
    <row r="51" spans="1:13">
      <c r="A51" s="7" t="s">
        <v>384</v>
      </c>
      <c r="B51" s="7" t="s">
        <v>102</v>
      </c>
      <c r="C51" s="7">
        <v>100</v>
      </c>
      <c r="D51" s="7"/>
      <c r="E51" s="7"/>
      <c r="F51" s="7">
        <v>250</v>
      </c>
      <c r="G51" s="7"/>
      <c r="H51" s="7">
        <v>0</v>
      </c>
      <c r="I51" s="7">
        <v>4</v>
      </c>
      <c r="J51" s="7"/>
      <c r="K51" s="7">
        <v>48</v>
      </c>
      <c r="L51" s="7">
        <f>34-5</f>
        <v>29</v>
      </c>
      <c r="M51" s="7">
        <f t="shared" si="0"/>
        <v>5.8000000000000003E-2</v>
      </c>
    </row>
    <row r="52" spans="1:13">
      <c r="A52" s="7" t="s">
        <v>385</v>
      </c>
      <c r="B52" s="7" t="s">
        <v>102</v>
      </c>
      <c r="C52" s="7">
        <v>20</v>
      </c>
      <c r="D52" s="7">
        <v>0</v>
      </c>
      <c r="E52" s="7"/>
      <c r="F52" s="7">
        <v>75</v>
      </c>
      <c r="G52" s="7"/>
      <c r="H52" s="7">
        <v>0</v>
      </c>
      <c r="I52" s="7">
        <v>4</v>
      </c>
      <c r="J52" s="7"/>
      <c r="K52" s="7">
        <v>107</v>
      </c>
      <c r="L52" s="7"/>
      <c r="M52" s="7">
        <v>9999</v>
      </c>
    </row>
    <row r="53" spans="1:13">
      <c r="A53" s="7" t="s">
        <v>386</v>
      </c>
      <c r="B53" s="7" t="s">
        <v>102</v>
      </c>
      <c r="C53" s="7">
        <v>40</v>
      </c>
      <c r="D53" s="7">
        <v>0</v>
      </c>
      <c r="E53" s="7"/>
      <c r="F53" s="7">
        <v>75</v>
      </c>
      <c r="G53" s="7"/>
      <c r="H53" s="7">
        <v>0</v>
      </c>
      <c r="I53" s="7">
        <v>4</v>
      </c>
      <c r="J53" s="7"/>
      <c r="K53" s="7">
        <v>76</v>
      </c>
      <c r="L53" s="7"/>
      <c r="M53" s="7">
        <v>65</v>
      </c>
    </row>
    <row r="54" spans="1:13">
      <c r="A54" s="7" t="s">
        <v>387</v>
      </c>
      <c r="B54" s="7" t="s">
        <v>102</v>
      </c>
      <c r="C54" s="7">
        <v>5</v>
      </c>
      <c r="D54" s="7">
        <v>0</v>
      </c>
      <c r="E54" s="7"/>
      <c r="F54" s="7">
        <v>75</v>
      </c>
      <c r="G54" s="7"/>
      <c r="H54" s="7">
        <v>0</v>
      </c>
      <c r="I54" s="7">
        <v>4</v>
      </c>
      <c r="J54" s="7"/>
      <c r="K54" s="7">
        <v>428</v>
      </c>
      <c r="L54" s="7"/>
      <c r="M54" s="7">
        <v>9999</v>
      </c>
    </row>
    <row r="55" spans="1:13">
      <c r="A55" s="7" t="s">
        <v>388</v>
      </c>
      <c r="B55" s="7" t="s">
        <v>102</v>
      </c>
      <c r="C55" s="7">
        <v>10</v>
      </c>
      <c r="D55" s="7">
        <v>1</v>
      </c>
      <c r="E55" s="7"/>
      <c r="F55" s="7">
        <v>75</v>
      </c>
      <c r="G55" s="7"/>
      <c r="H55" s="7">
        <v>0</v>
      </c>
      <c r="I55" s="7">
        <v>4</v>
      </c>
      <c r="J55" s="7"/>
      <c r="K55" s="7">
        <v>236</v>
      </c>
      <c r="L55" s="7"/>
      <c r="M55" s="7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5"/>
  <sheetViews>
    <sheetView topLeftCell="A13" workbookViewId="0">
      <selection activeCell="G13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42.625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389</v>
      </c>
      <c r="B2" s="10" t="s">
        <v>10</v>
      </c>
      <c r="C2" s="10">
        <v>5</v>
      </c>
      <c r="D2" s="5">
        <v>0</v>
      </c>
      <c r="E2" s="5"/>
      <c r="F2" s="5">
        <v>250</v>
      </c>
      <c r="G2" s="9"/>
      <c r="H2" s="5">
        <v>1</v>
      </c>
      <c r="I2" s="5">
        <v>1</v>
      </c>
      <c r="J2" s="5">
        <f>MAX(I:I)</f>
        <v>5</v>
      </c>
      <c r="K2" s="5">
        <v>429</v>
      </c>
      <c r="L2" s="5">
        <v>403</v>
      </c>
      <c r="M2" s="5">
        <v>405</v>
      </c>
    </row>
    <row r="3" spans="1:13">
      <c r="A3" s="9" t="s">
        <v>390</v>
      </c>
      <c r="B3" s="10" t="s">
        <v>10</v>
      </c>
      <c r="C3" s="10">
        <v>20</v>
      </c>
      <c r="D3" s="10">
        <v>0</v>
      </c>
      <c r="E3" s="10"/>
      <c r="F3" s="5">
        <v>250</v>
      </c>
      <c r="G3" s="5"/>
      <c r="H3" s="5">
        <v>1</v>
      </c>
      <c r="I3" s="5">
        <v>1</v>
      </c>
      <c r="J3" s="5"/>
      <c r="K3" s="5">
        <v>109</v>
      </c>
      <c r="L3" s="5">
        <v>105</v>
      </c>
      <c r="M3" s="5">
        <v>111</v>
      </c>
    </row>
    <row r="4" spans="1:13">
      <c r="A4" s="9" t="s">
        <v>391</v>
      </c>
      <c r="B4" s="10" t="s">
        <v>10</v>
      </c>
      <c r="C4" s="10">
        <v>40</v>
      </c>
      <c r="D4" s="10">
        <v>0</v>
      </c>
      <c r="E4" s="10"/>
      <c r="F4" s="5">
        <v>250</v>
      </c>
      <c r="G4" s="5"/>
      <c r="H4" s="5">
        <v>1</v>
      </c>
      <c r="I4" s="5">
        <v>1</v>
      </c>
      <c r="J4" s="5"/>
      <c r="K4" s="5">
        <v>77</v>
      </c>
      <c r="L4" s="5">
        <v>57</v>
      </c>
      <c r="M4" s="5">
        <v>60</v>
      </c>
    </row>
    <row r="5" spans="1:13">
      <c r="A5" s="5" t="s">
        <v>392</v>
      </c>
      <c r="B5" s="10" t="s">
        <v>10</v>
      </c>
      <c r="C5" s="5">
        <v>10</v>
      </c>
      <c r="D5" s="5">
        <v>0</v>
      </c>
      <c r="E5" s="5"/>
      <c r="F5" s="5">
        <v>250</v>
      </c>
      <c r="G5" s="5"/>
      <c r="H5" s="5">
        <v>1</v>
      </c>
      <c r="I5" s="5">
        <v>1</v>
      </c>
      <c r="J5" s="5"/>
      <c r="K5" s="5">
        <v>237</v>
      </c>
      <c r="L5" s="5">
        <v>204</v>
      </c>
      <c r="M5" s="5">
        <v>208</v>
      </c>
    </row>
    <row r="6" spans="1:13">
      <c r="A6" s="5" t="s">
        <v>393</v>
      </c>
      <c r="B6" s="10" t="s">
        <v>10</v>
      </c>
      <c r="C6" s="5">
        <v>30</v>
      </c>
      <c r="D6" s="5">
        <v>0</v>
      </c>
      <c r="E6" s="5"/>
      <c r="F6" s="5">
        <v>250</v>
      </c>
      <c r="G6" s="5"/>
      <c r="H6" s="5">
        <v>1</v>
      </c>
      <c r="I6" s="5">
        <v>1</v>
      </c>
      <c r="J6" s="5"/>
      <c r="K6" s="5">
        <v>77</v>
      </c>
      <c r="L6" s="5">
        <v>72</v>
      </c>
      <c r="M6" s="5">
        <v>75</v>
      </c>
    </row>
    <row r="7" spans="1:13">
      <c r="A7" s="5" t="s">
        <v>394</v>
      </c>
      <c r="B7" s="10" t="s">
        <v>10</v>
      </c>
      <c r="C7" s="5">
        <v>5</v>
      </c>
      <c r="D7" s="5">
        <v>0</v>
      </c>
      <c r="E7" s="5"/>
      <c r="F7" s="5">
        <v>250</v>
      </c>
      <c r="G7" s="5"/>
      <c r="H7" s="5">
        <v>2</v>
      </c>
      <c r="I7" s="5">
        <v>1</v>
      </c>
      <c r="J7" s="5"/>
      <c r="K7" s="5">
        <v>428</v>
      </c>
      <c r="L7" s="5">
        <v>401</v>
      </c>
      <c r="M7" s="5">
        <v>407</v>
      </c>
    </row>
    <row r="8" spans="1:13">
      <c r="A8" s="5" t="s">
        <v>395</v>
      </c>
      <c r="B8" s="10" t="s">
        <v>10</v>
      </c>
      <c r="C8" s="5">
        <v>5</v>
      </c>
      <c r="D8" s="5"/>
      <c r="E8" s="5"/>
      <c r="F8" s="5">
        <v>250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396</v>
      </c>
      <c r="B9" s="10" t="s">
        <v>10</v>
      </c>
      <c r="C9" s="5">
        <v>10</v>
      </c>
      <c r="D9" s="5"/>
      <c r="E9" s="5"/>
      <c r="F9" s="5">
        <v>250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397</v>
      </c>
      <c r="B10" s="10" t="s">
        <v>10</v>
      </c>
      <c r="C10" s="5">
        <v>20</v>
      </c>
      <c r="D10" s="5"/>
      <c r="E10" s="5"/>
      <c r="F10" s="5">
        <v>250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398</v>
      </c>
      <c r="B11" s="10" t="s">
        <v>10</v>
      </c>
      <c r="C11" s="5">
        <v>30</v>
      </c>
      <c r="D11" s="5"/>
      <c r="E11" s="5"/>
      <c r="F11" s="5">
        <v>250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4" t="s">
        <v>399</v>
      </c>
      <c r="B12" s="10" t="s">
        <v>10</v>
      </c>
      <c r="C12" s="4">
        <v>40</v>
      </c>
      <c r="D12" s="5"/>
      <c r="E12" s="5"/>
      <c r="F12" s="5">
        <v>250</v>
      </c>
      <c r="G12" s="4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8" t="s">
        <v>400</v>
      </c>
      <c r="B13" s="7" t="s">
        <v>25</v>
      </c>
      <c r="C13" s="8">
        <v>40</v>
      </c>
      <c r="D13" s="7">
        <v>0</v>
      </c>
      <c r="E13" s="7"/>
      <c r="F13" s="7">
        <v>150</v>
      </c>
      <c r="G13" s="8"/>
      <c r="H13" s="7">
        <v>1</v>
      </c>
      <c r="I13" s="7">
        <v>2</v>
      </c>
      <c r="J13" s="7"/>
      <c r="K13" s="7">
        <v>77</v>
      </c>
      <c r="L13" s="7">
        <v>57</v>
      </c>
      <c r="M13" s="7">
        <v>55</v>
      </c>
    </row>
    <row r="14" spans="1:13">
      <c r="A14" s="8" t="s">
        <v>401</v>
      </c>
      <c r="B14" s="7" t="s">
        <v>25</v>
      </c>
      <c r="C14" s="8">
        <v>10</v>
      </c>
      <c r="D14" s="7">
        <v>0</v>
      </c>
      <c r="E14" s="7"/>
      <c r="F14" s="7">
        <v>150</v>
      </c>
      <c r="G14" s="8"/>
      <c r="H14" s="7">
        <v>1</v>
      </c>
      <c r="I14" s="7">
        <v>2</v>
      </c>
      <c r="J14" s="7"/>
      <c r="K14" s="7">
        <v>237</v>
      </c>
      <c r="L14" s="7"/>
      <c r="M14" s="7">
        <v>222</v>
      </c>
    </row>
    <row r="15" spans="1:13">
      <c r="A15" s="8" t="s">
        <v>402</v>
      </c>
      <c r="B15" s="7" t="s">
        <v>25</v>
      </c>
      <c r="C15" s="8">
        <v>5</v>
      </c>
      <c r="D15" s="7">
        <v>0</v>
      </c>
      <c r="E15" s="7"/>
      <c r="F15" s="7">
        <v>150</v>
      </c>
      <c r="G15" s="7"/>
      <c r="H15" s="7">
        <v>1</v>
      </c>
      <c r="I15" s="7">
        <v>2</v>
      </c>
      <c r="J15" s="7"/>
      <c r="K15" s="7">
        <v>428</v>
      </c>
      <c r="L15" s="7"/>
      <c r="M15" s="7">
        <v>416</v>
      </c>
    </row>
    <row r="16" spans="1:13">
      <c r="A16" s="8" t="s">
        <v>403</v>
      </c>
      <c r="B16" s="7" t="s">
        <v>25</v>
      </c>
      <c r="C16" s="8">
        <v>20</v>
      </c>
      <c r="D16" s="7">
        <v>1</v>
      </c>
      <c r="E16" s="7"/>
      <c r="F16" s="7">
        <v>150</v>
      </c>
      <c r="G16" s="8"/>
      <c r="H16" s="7">
        <v>1</v>
      </c>
      <c r="I16" s="7">
        <v>2</v>
      </c>
      <c r="J16" s="7"/>
      <c r="K16" s="7">
        <v>109</v>
      </c>
      <c r="L16" s="7"/>
      <c r="M16" s="7">
        <v>102</v>
      </c>
    </row>
    <row r="17" spans="1:13">
      <c r="A17" s="8" t="s">
        <v>404</v>
      </c>
      <c r="B17" s="7" t="s">
        <v>25</v>
      </c>
      <c r="C17" s="8">
        <v>30</v>
      </c>
      <c r="D17" s="7">
        <v>0</v>
      </c>
      <c r="E17" s="7"/>
      <c r="F17" s="7">
        <v>150</v>
      </c>
      <c r="G17" s="8"/>
      <c r="H17" s="7">
        <v>1</v>
      </c>
      <c r="I17" s="7">
        <v>2</v>
      </c>
      <c r="J17" s="7"/>
      <c r="K17" s="7">
        <v>77</v>
      </c>
      <c r="L17" s="7"/>
      <c r="M17" s="7">
        <v>77</v>
      </c>
    </row>
    <row r="18" spans="1:13">
      <c r="A18" s="8" t="s">
        <v>405</v>
      </c>
      <c r="B18" s="7" t="s">
        <v>25</v>
      </c>
      <c r="C18" s="8">
        <v>40</v>
      </c>
      <c r="D18" s="7">
        <v>1</v>
      </c>
      <c r="E18" s="7"/>
      <c r="F18" s="7">
        <v>150</v>
      </c>
      <c r="G18" s="8"/>
      <c r="H18" s="7">
        <v>2</v>
      </c>
      <c r="I18" s="7">
        <v>2</v>
      </c>
      <c r="J18" s="7"/>
      <c r="K18" s="7">
        <v>77</v>
      </c>
      <c r="L18" s="7"/>
      <c r="M18" s="7">
        <v>51</v>
      </c>
    </row>
    <row r="19" spans="1:13">
      <c r="A19" s="8" t="s">
        <v>406</v>
      </c>
      <c r="B19" s="7" t="s">
        <v>25</v>
      </c>
      <c r="C19" s="8">
        <v>5</v>
      </c>
      <c r="D19" s="7"/>
      <c r="E19" s="7"/>
      <c r="F19" s="7">
        <v>150</v>
      </c>
      <c r="G19" s="8"/>
      <c r="H19" s="7">
        <v>0</v>
      </c>
      <c r="I19" s="7">
        <v>2</v>
      </c>
      <c r="J19" s="7"/>
      <c r="K19" s="7">
        <v>-1</v>
      </c>
      <c r="L19" s="7">
        <v>-1</v>
      </c>
      <c r="M19" s="7">
        <v>-1</v>
      </c>
    </row>
    <row r="20" spans="1:13">
      <c r="A20" s="7" t="s">
        <v>407</v>
      </c>
      <c r="B20" s="7" t="s">
        <v>25</v>
      </c>
      <c r="C20" s="7">
        <v>10</v>
      </c>
      <c r="D20" s="7"/>
      <c r="E20" s="7"/>
      <c r="F20" s="7">
        <v>150</v>
      </c>
      <c r="G20" s="7"/>
      <c r="H20" s="7">
        <v>0</v>
      </c>
      <c r="I20" s="7">
        <v>2</v>
      </c>
      <c r="J20" s="7"/>
      <c r="K20" s="7">
        <v>-1</v>
      </c>
      <c r="L20" s="7">
        <v>-1</v>
      </c>
      <c r="M20" s="7">
        <v>-1</v>
      </c>
    </row>
    <row r="21" spans="1:13">
      <c r="A21" s="7" t="s">
        <v>408</v>
      </c>
      <c r="B21" s="7" t="s">
        <v>25</v>
      </c>
      <c r="C21" s="7">
        <v>20</v>
      </c>
      <c r="D21" s="7"/>
      <c r="E21" s="7"/>
      <c r="F21" s="7">
        <v>150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409</v>
      </c>
      <c r="B22" s="7" t="s">
        <v>25</v>
      </c>
      <c r="C22" s="7">
        <v>30</v>
      </c>
      <c r="D22" s="7"/>
      <c r="E22" s="7"/>
      <c r="F22" s="7">
        <v>150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410</v>
      </c>
      <c r="B23" s="7" t="s">
        <v>25</v>
      </c>
      <c r="C23" s="7">
        <v>40</v>
      </c>
      <c r="D23" s="7"/>
      <c r="E23" s="7"/>
      <c r="F23" s="7">
        <v>150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5" t="s">
        <v>411</v>
      </c>
      <c r="B24" s="4" t="s">
        <v>93</v>
      </c>
      <c r="C24" s="5">
        <v>20</v>
      </c>
      <c r="D24" s="5">
        <v>1</v>
      </c>
      <c r="E24" s="5"/>
      <c r="F24" s="4">
        <v>250</v>
      </c>
      <c r="G24" s="5"/>
      <c r="H24" s="5">
        <v>1</v>
      </c>
      <c r="I24" s="5">
        <v>3</v>
      </c>
      <c r="J24" s="5" t="s">
        <v>412</v>
      </c>
      <c r="K24" s="5">
        <v>109</v>
      </c>
      <c r="L24" s="5"/>
      <c r="M24" s="5">
        <v>76</v>
      </c>
    </row>
    <row r="25" spans="1:13">
      <c r="A25" s="5" t="s">
        <v>413</v>
      </c>
      <c r="B25" s="4" t="s">
        <v>93</v>
      </c>
      <c r="C25" s="5">
        <v>5</v>
      </c>
      <c r="D25" s="5">
        <v>1</v>
      </c>
      <c r="E25" s="5"/>
      <c r="F25" s="4">
        <v>250</v>
      </c>
      <c r="G25" s="5"/>
      <c r="H25" s="5">
        <v>1</v>
      </c>
      <c r="I25" s="5">
        <v>3</v>
      </c>
      <c r="J25" s="5"/>
      <c r="K25" s="5">
        <v>428</v>
      </c>
      <c r="L25" s="5"/>
      <c r="M25" s="5">
        <v>389</v>
      </c>
    </row>
    <row r="26" spans="1:13">
      <c r="A26" s="5" t="s">
        <v>414</v>
      </c>
      <c r="B26" s="4" t="s">
        <v>93</v>
      </c>
      <c r="C26" s="5">
        <v>10</v>
      </c>
      <c r="D26" s="5">
        <v>0</v>
      </c>
      <c r="E26" s="5"/>
      <c r="F26" s="4">
        <v>250</v>
      </c>
      <c r="G26" s="5"/>
      <c r="H26" s="5">
        <v>1</v>
      </c>
      <c r="I26" s="5">
        <v>3</v>
      </c>
      <c r="J26" s="5"/>
      <c r="K26" s="5">
        <v>237</v>
      </c>
      <c r="L26" s="5"/>
      <c r="M26" s="5">
        <v>199</v>
      </c>
    </row>
    <row r="27" spans="1:13">
      <c r="A27" s="5" t="s">
        <v>415</v>
      </c>
      <c r="B27" s="4" t="s">
        <v>93</v>
      </c>
      <c r="C27" s="5">
        <v>40</v>
      </c>
      <c r="D27" s="5">
        <v>0</v>
      </c>
      <c r="E27" s="5"/>
      <c r="F27" s="4">
        <v>250</v>
      </c>
      <c r="G27" s="5"/>
      <c r="H27" s="5">
        <v>1</v>
      </c>
      <c r="I27" s="5">
        <v>3</v>
      </c>
      <c r="J27" s="5"/>
      <c r="K27" s="5">
        <v>77</v>
      </c>
      <c r="L27" s="5"/>
      <c r="M27" s="5">
        <v>9999</v>
      </c>
    </row>
    <row r="28" spans="1:13">
      <c r="A28" s="5" t="s">
        <v>416</v>
      </c>
      <c r="B28" s="4" t="s">
        <v>93</v>
      </c>
      <c r="C28" s="5">
        <v>30</v>
      </c>
      <c r="D28" s="5">
        <v>0</v>
      </c>
      <c r="E28" s="5"/>
      <c r="F28" s="4">
        <v>250</v>
      </c>
      <c r="G28" s="11"/>
      <c r="H28" s="5">
        <v>1</v>
      </c>
      <c r="I28" s="5">
        <v>3</v>
      </c>
      <c r="J28" s="5" t="s">
        <v>417</v>
      </c>
      <c r="K28" s="5">
        <v>77</v>
      </c>
      <c r="L28" s="5"/>
      <c r="M28" s="5">
        <v>9999</v>
      </c>
    </row>
    <row r="29" spans="1:13">
      <c r="A29" s="5" t="s">
        <v>418</v>
      </c>
      <c r="B29" s="4" t="s">
        <v>93</v>
      </c>
      <c r="C29" s="5">
        <v>20</v>
      </c>
      <c r="D29" s="5">
        <v>0</v>
      </c>
      <c r="E29" s="5"/>
      <c r="F29" s="4">
        <v>250</v>
      </c>
      <c r="G29" s="5"/>
      <c r="H29" s="5">
        <v>2</v>
      </c>
      <c r="I29" s="5">
        <v>3</v>
      </c>
      <c r="J29" s="5" t="s">
        <v>417</v>
      </c>
      <c r="K29" s="5">
        <v>108</v>
      </c>
      <c r="L29" s="5"/>
      <c r="M29" s="5">
        <v>9999</v>
      </c>
    </row>
    <row r="30" spans="1:13">
      <c r="A30" s="5" t="s">
        <v>419</v>
      </c>
      <c r="B30" s="4" t="s">
        <v>93</v>
      </c>
      <c r="C30" s="5">
        <v>30</v>
      </c>
      <c r="D30" s="5"/>
      <c r="E30" s="5"/>
      <c r="F30" s="4">
        <v>250</v>
      </c>
      <c r="G30" s="5"/>
      <c r="H30" s="5">
        <v>0</v>
      </c>
      <c r="I30" s="5">
        <v>3</v>
      </c>
      <c r="J30" s="5"/>
      <c r="K30" s="5">
        <v>-1</v>
      </c>
      <c r="L30" s="5">
        <v>-1</v>
      </c>
      <c r="M30" s="5">
        <v>-1</v>
      </c>
    </row>
    <row r="31" spans="1:13">
      <c r="A31" s="5" t="s">
        <v>420</v>
      </c>
      <c r="B31" s="4" t="s">
        <v>93</v>
      </c>
      <c r="C31" s="5">
        <v>5</v>
      </c>
      <c r="D31" s="5"/>
      <c r="E31" s="5"/>
      <c r="F31" s="4">
        <v>250</v>
      </c>
      <c r="G31" s="5"/>
      <c r="H31" s="5">
        <v>0</v>
      </c>
      <c r="I31" s="5">
        <v>3</v>
      </c>
      <c r="J31" s="5"/>
      <c r="K31" s="5">
        <v>-1</v>
      </c>
      <c r="L31" s="5">
        <v>-1</v>
      </c>
      <c r="M31" s="5">
        <v>-1</v>
      </c>
    </row>
    <row r="32" spans="1:13">
      <c r="A32" s="5" t="s">
        <v>421</v>
      </c>
      <c r="B32" s="4" t="s">
        <v>93</v>
      </c>
      <c r="C32" s="5">
        <v>20</v>
      </c>
      <c r="D32" s="5"/>
      <c r="E32" s="5"/>
      <c r="F32" s="4">
        <v>250</v>
      </c>
      <c r="G32" s="5"/>
      <c r="H32" s="5">
        <v>0</v>
      </c>
      <c r="I32" s="5">
        <v>3</v>
      </c>
      <c r="J32" s="5"/>
      <c r="K32" s="5">
        <v>-1</v>
      </c>
      <c r="L32" s="5">
        <v>-1</v>
      </c>
      <c r="M32" s="5">
        <v>-1</v>
      </c>
    </row>
    <row r="33" spans="1:13">
      <c r="A33" s="7" t="s">
        <v>422</v>
      </c>
      <c r="B33" s="7" t="s">
        <v>102</v>
      </c>
      <c r="C33" s="7">
        <v>40</v>
      </c>
      <c r="D33" s="7">
        <v>0</v>
      </c>
      <c r="E33" s="7">
        <v>0</v>
      </c>
      <c r="F33" s="7">
        <v>75</v>
      </c>
      <c r="G33" s="7"/>
      <c r="H33" s="7">
        <v>1</v>
      </c>
      <c r="I33" s="7">
        <v>4</v>
      </c>
      <c r="J33" s="7" t="s">
        <v>423</v>
      </c>
      <c r="K33" s="7">
        <v>77</v>
      </c>
      <c r="L33" s="7"/>
      <c r="M33" s="7">
        <v>9999</v>
      </c>
    </row>
    <row r="34" spans="1:13">
      <c r="A34" s="7" t="s">
        <v>424</v>
      </c>
      <c r="B34" s="7" t="s">
        <v>102</v>
      </c>
      <c r="C34" s="7">
        <v>20</v>
      </c>
      <c r="D34" s="7">
        <v>0</v>
      </c>
      <c r="E34" s="7"/>
      <c r="F34" s="7">
        <v>75</v>
      </c>
      <c r="G34" s="7"/>
      <c r="H34" s="7">
        <v>1</v>
      </c>
      <c r="I34" s="7">
        <v>4</v>
      </c>
      <c r="J34" s="7"/>
      <c r="K34" s="7">
        <v>109</v>
      </c>
      <c r="L34" s="7"/>
      <c r="M34" s="7">
        <v>110</v>
      </c>
    </row>
    <row r="35" spans="1:13">
      <c r="A35" s="7" t="s">
        <v>425</v>
      </c>
      <c r="B35" s="7" t="s">
        <v>102</v>
      </c>
      <c r="C35" s="7">
        <v>5</v>
      </c>
      <c r="D35" s="7">
        <v>0</v>
      </c>
      <c r="E35" s="7"/>
      <c r="F35" s="7">
        <v>75</v>
      </c>
      <c r="G35" s="7"/>
      <c r="H35" s="7">
        <v>1</v>
      </c>
      <c r="I35" s="7">
        <v>4</v>
      </c>
      <c r="J35" s="7"/>
      <c r="K35" s="7">
        <v>427</v>
      </c>
      <c r="L35" s="7"/>
      <c r="M35" s="7">
        <v>397</v>
      </c>
    </row>
    <row r="36" spans="1:13">
      <c r="A36" s="7" t="s">
        <v>426</v>
      </c>
      <c r="B36" s="7" t="s">
        <v>102</v>
      </c>
      <c r="C36" s="7">
        <v>10</v>
      </c>
      <c r="D36" s="7">
        <v>0</v>
      </c>
      <c r="E36" s="7"/>
      <c r="F36" s="7">
        <v>75</v>
      </c>
      <c r="G36" s="7"/>
      <c r="H36" s="7">
        <v>1</v>
      </c>
      <c r="I36" s="7">
        <v>4</v>
      </c>
      <c r="J36" s="7"/>
      <c r="K36" s="7">
        <v>237</v>
      </c>
      <c r="L36" s="7">
        <v>210</v>
      </c>
      <c r="M36" s="7"/>
    </row>
    <row r="37" spans="1:13">
      <c r="A37" s="7" t="s">
        <v>427</v>
      </c>
      <c r="B37" s="7" t="s">
        <v>102</v>
      </c>
      <c r="C37" s="7">
        <v>30</v>
      </c>
      <c r="D37" s="7">
        <v>0</v>
      </c>
      <c r="E37" s="7"/>
      <c r="F37" s="7">
        <v>75</v>
      </c>
      <c r="G37" s="7"/>
      <c r="H37" s="7">
        <v>1</v>
      </c>
      <c r="I37" s="7">
        <v>4</v>
      </c>
      <c r="J37" s="7"/>
      <c r="K37" s="7">
        <v>77</v>
      </c>
      <c r="L37" s="7"/>
      <c r="M37" s="7">
        <v>75</v>
      </c>
    </row>
    <row r="38" spans="1:13">
      <c r="A38" s="7" t="s">
        <v>428</v>
      </c>
      <c r="B38" s="7" t="s">
        <v>102</v>
      </c>
      <c r="C38" s="7">
        <v>40</v>
      </c>
      <c r="D38" s="7">
        <v>0</v>
      </c>
      <c r="E38" s="7">
        <v>1</v>
      </c>
      <c r="F38" s="7">
        <v>75</v>
      </c>
      <c r="G38" s="7"/>
      <c r="H38" s="7">
        <v>2</v>
      </c>
      <c r="I38" s="7">
        <v>4</v>
      </c>
      <c r="J38" s="7"/>
      <c r="K38" s="7">
        <v>77</v>
      </c>
      <c r="L38" s="7"/>
      <c r="M38" s="7">
        <v>60</v>
      </c>
    </row>
    <row r="39" spans="1:13">
      <c r="A39" s="7" t="s">
        <v>429</v>
      </c>
      <c r="B39" s="7" t="s">
        <v>102</v>
      </c>
      <c r="C39" s="7">
        <v>5</v>
      </c>
      <c r="D39" s="7"/>
      <c r="E39" s="7"/>
      <c r="F39" s="7">
        <v>75</v>
      </c>
      <c r="G39" s="7"/>
      <c r="H39" s="7">
        <v>0</v>
      </c>
      <c r="I39" s="7">
        <v>4</v>
      </c>
      <c r="J39" s="7"/>
      <c r="K39" s="7">
        <v>-1</v>
      </c>
      <c r="L39" s="7">
        <v>-1</v>
      </c>
      <c r="M39" s="7">
        <v>-1</v>
      </c>
    </row>
    <row r="40" spans="1:13">
      <c r="A40" s="7" t="s">
        <v>430</v>
      </c>
      <c r="B40" s="7" t="s">
        <v>102</v>
      </c>
      <c r="C40" s="7">
        <v>10</v>
      </c>
      <c r="D40" s="7"/>
      <c r="E40" s="7"/>
      <c r="F40" s="7">
        <v>75</v>
      </c>
      <c r="G40" s="7"/>
      <c r="H40" s="7">
        <v>0</v>
      </c>
      <c r="I40" s="7">
        <v>4</v>
      </c>
      <c r="J40" s="7"/>
      <c r="K40" s="7">
        <v>-1</v>
      </c>
      <c r="L40" s="7">
        <v>-1</v>
      </c>
      <c r="M40" s="7">
        <v>-1</v>
      </c>
    </row>
    <row r="41" spans="1:13">
      <c r="A41" s="7" t="s">
        <v>431</v>
      </c>
      <c r="B41" s="7" t="s">
        <v>102</v>
      </c>
      <c r="C41" s="7">
        <v>20</v>
      </c>
      <c r="D41" s="7"/>
      <c r="E41" s="7"/>
      <c r="F41" s="7">
        <v>75</v>
      </c>
      <c r="G41" s="7"/>
      <c r="H41" s="7">
        <v>0</v>
      </c>
      <c r="I41" s="7">
        <v>4</v>
      </c>
      <c r="J41" s="7"/>
      <c r="K41" s="7">
        <v>-1</v>
      </c>
      <c r="L41" s="7">
        <v>-1</v>
      </c>
      <c r="M41" s="7">
        <v>-1</v>
      </c>
    </row>
    <row r="42" spans="1:13">
      <c r="A42" s="7" t="s">
        <v>432</v>
      </c>
      <c r="B42" s="7" t="s">
        <v>102</v>
      </c>
      <c r="C42" s="7">
        <v>30</v>
      </c>
      <c r="D42" s="7"/>
      <c r="E42" s="7"/>
      <c r="F42" s="7">
        <v>75</v>
      </c>
      <c r="G42" s="7"/>
      <c r="H42" s="7">
        <v>0</v>
      </c>
      <c r="I42" s="7">
        <v>4</v>
      </c>
      <c r="J42" s="7"/>
      <c r="K42" s="7">
        <v>-1</v>
      </c>
      <c r="L42" s="7">
        <v>-1</v>
      </c>
      <c r="M42" s="7">
        <v>-1</v>
      </c>
    </row>
    <row r="43" spans="1:13" ht="13.5" customHeight="1">
      <c r="A43" s="7" t="s">
        <v>433</v>
      </c>
      <c r="B43" s="7" t="s">
        <v>102</v>
      </c>
      <c r="C43" s="7">
        <v>40</v>
      </c>
      <c r="D43" s="7"/>
      <c r="E43" s="7"/>
      <c r="F43" s="7">
        <v>75</v>
      </c>
      <c r="G43" s="7"/>
      <c r="H43" s="7">
        <v>0</v>
      </c>
      <c r="I43" s="7">
        <v>4</v>
      </c>
      <c r="J43" s="7"/>
      <c r="K43" s="7">
        <v>-1</v>
      </c>
      <c r="L43" s="7">
        <v>-1</v>
      </c>
      <c r="M43" s="7">
        <v>-1</v>
      </c>
    </row>
    <row r="44" spans="1:13">
      <c r="A44" s="5" t="s">
        <v>434</v>
      </c>
      <c r="B44" s="5" t="s">
        <v>172</v>
      </c>
      <c r="C44" s="5">
        <v>5</v>
      </c>
      <c r="D44" s="5">
        <v>0</v>
      </c>
      <c r="E44" s="5"/>
      <c r="F44" s="5">
        <v>150</v>
      </c>
      <c r="G44" s="5"/>
      <c r="H44" s="5">
        <v>1</v>
      </c>
      <c r="I44" s="5">
        <v>5</v>
      </c>
      <c r="J44" s="5" t="s">
        <v>435</v>
      </c>
      <c r="K44" s="5">
        <v>428</v>
      </c>
      <c r="L44" s="5"/>
      <c r="M44" s="5">
        <v>404</v>
      </c>
    </row>
    <row r="45" spans="1:13">
      <c r="A45" s="5" t="s">
        <v>436</v>
      </c>
      <c r="B45" s="5" t="s">
        <v>172</v>
      </c>
      <c r="C45" s="5">
        <v>10</v>
      </c>
      <c r="D45" s="5">
        <v>0</v>
      </c>
      <c r="E45" s="5"/>
      <c r="F45" s="5">
        <v>150</v>
      </c>
      <c r="G45" s="5"/>
      <c r="H45" s="5">
        <v>1</v>
      </c>
      <c r="I45" s="5">
        <v>5</v>
      </c>
      <c r="J45" s="5"/>
      <c r="K45" s="5">
        <v>237</v>
      </c>
      <c r="L45" s="5">
        <v>201</v>
      </c>
      <c r="M45" s="5">
        <v>196</v>
      </c>
    </row>
    <row r="46" spans="1:13">
      <c r="A46" s="5" t="s">
        <v>437</v>
      </c>
      <c r="B46" s="5" t="s">
        <v>172</v>
      </c>
      <c r="C46" s="5">
        <v>40</v>
      </c>
      <c r="D46" s="5">
        <v>0</v>
      </c>
      <c r="E46" s="5"/>
      <c r="F46" s="5">
        <v>150</v>
      </c>
      <c r="G46" s="5"/>
      <c r="H46" s="5">
        <v>1</v>
      </c>
      <c r="I46" s="5">
        <v>5</v>
      </c>
      <c r="J46" s="5"/>
      <c r="K46" s="5">
        <v>77</v>
      </c>
      <c r="L46" s="5"/>
      <c r="M46" s="5">
        <v>57</v>
      </c>
    </row>
    <row r="47" spans="1:13">
      <c r="A47" s="5" t="s">
        <v>438</v>
      </c>
      <c r="B47" s="5" t="s">
        <v>172</v>
      </c>
      <c r="C47" s="5">
        <v>20</v>
      </c>
      <c r="D47" s="5">
        <v>0</v>
      </c>
      <c r="E47" s="5"/>
      <c r="F47" s="5">
        <v>150</v>
      </c>
      <c r="G47" s="5"/>
      <c r="H47" s="5">
        <v>1</v>
      </c>
      <c r="I47" s="5">
        <v>5</v>
      </c>
      <c r="J47" s="5"/>
      <c r="K47" s="5">
        <v>109</v>
      </c>
      <c r="L47" s="5"/>
      <c r="M47" s="5">
        <v>112</v>
      </c>
    </row>
    <row r="48" spans="1:13">
      <c r="A48" s="5" t="s">
        <v>439</v>
      </c>
      <c r="B48" s="5" t="s">
        <v>172</v>
      </c>
      <c r="C48" s="5">
        <v>30</v>
      </c>
      <c r="D48" s="5">
        <v>0</v>
      </c>
      <c r="E48" s="5"/>
      <c r="F48" s="5">
        <v>150</v>
      </c>
      <c r="G48" s="5"/>
      <c r="H48" s="5">
        <v>1</v>
      </c>
      <c r="I48" s="5">
        <v>5</v>
      </c>
      <c r="J48" s="5"/>
      <c r="K48" s="5">
        <v>77</v>
      </c>
      <c r="L48" s="5"/>
      <c r="M48" s="5">
        <v>76</v>
      </c>
    </row>
    <row r="49" spans="1:13">
      <c r="A49" s="5" t="s">
        <v>440</v>
      </c>
      <c r="B49" s="5" t="s">
        <v>172</v>
      </c>
      <c r="C49" s="5">
        <v>5</v>
      </c>
      <c r="D49" s="5">
        <v>0</v>
      </c>
      <c r="E49" s="5"/>
      <c r="F49" s="5">
        <v>150</v>
      </c>
      <c r="G49" s="5"/>
      <c r="H49" s="5">
        <v>2</v>
      </c>
      <c r="I49" s="5">
        <v>5</v>
      </c>
      <c r="J49" s="5"/>
      <c r="K49" s="5">
        <v>428</v>
      </c>
      <c r="L49" s="5"/>
      <c r="M49" s="5">
        <v>400</v>
      </c>
    </row>
    <row r="50" spans="1:13">
      <c r="A50" s="5" t="s">
        <v>441</v>
      </c>
      <c r="B50" s="5" t="s">
        <v>172</v>
      </c>
      <c r="C50" s="5">
        <v>5</v>
      </c>
      <c r="D50" s="5"/>
      <c r="E50" s="5"/>
      <c r="F50" s="5">
        <v>150</v>
      </c>
      <c r="G50" s="5"/>
      <c r="H50" s="5">
        <v>0</v>
      </c>
      <c r="I50" s="5">
        <v>5</v>
      </c>
      <c r="J50" s="5"/>
      <c r="K50" s="5"/>
      <c r="L50" s="5"/>
      <c r="M50" s="5"/>
    </row>
    <row r="51" spans="1:13">
      <c r="A51" s="5" t="s">
        <v>442</v>
      </c>
      <c r="B51" s="5" t="s">
        <v>172</v>
      </c>
      <c r="C51" s="5">
        <v>10</v>
      </c>
      <c r="D51" s="5"/>
      <c r="E51" s="5"/>
      <c r="F51" s="5">
        <v>150</v>
      </c>
      <c r="G51" s="5"/>
      <c r="H51" s="5">
        <v>0</v>
      </c>
      <c r="I51" s="5">
        <v>5</v>
      </c>
      <c r="J51" s="5"/>
      <c r="K51" s="5"/>
      <c r="L51" s="5"/>
      <c r="M51" s="5"/>
    </row>
    <row r="52" spans="1:13">
      <c r="A52" s="5" t="s">
        <v>443</v>
      </c>
      <c r="B52" s="5" t="s">
        <v>172</v>
      </c>
      <c r="C52" s="5">
        <v>20</v>
      </c>
      <c r="D52" s="5"/>
      <c r="E52" s="5"/>
      <c r="F52" s="5">
        <v>150</v>
      </c>
      <c r="G52" s="5"/>
      <c r="H52" s="5">
        <v>0</v>
      </c>
      <c r="I52" s="5">
        <v>5</v>
      </c>
      <c r="J52" s="5"/>
      <c r="K52" s="5"/>
      <c r="L52" s="5"/>
      <c r="M52" s="5"/>
    </row>
    <row r="53" spans="1:13">
      <c r="A53" s="5" t="s">
        <v>444</v>
      </c>
      <c r="B53" s="5" t="s">
        <v>172</v>
      </c>
      <c r="C53" s="5">
        <v>30</v>
      </c>
      <c r="D53" s="5"/>
      <c r="E53" s="5"/>
      <c r="F53" s="5">
        <v>150</v>
      </c>
      <c r="G53" s="5"/>
      <c r="H53" s="5">
        <v>0</v>
      </c>
      <c r="I53" s="5">
        <v>5</v>
      </c>
      <c r="J53" s="5"/>
      <c r="K53" s="5"/>
      <c r="L53" s="5"/>
      <c r="M53" s="5"/>
    </row>
    <row r="54" spans="1:13">
      <c r="A54" s="5" t="s">
        <v>445</v>
      </c>
      <c r="B54" s="5" t="s">
        <v>172</v>
      </c>
      <c r="C54" s="5">
        <v>40</v>
      </c>
      <c r="D54" s="5"/>
      <c r="E54" s="5"/>
      <c r="F54" s="5">
        <v>150</v>
      </c>
      <c r="G54" s="5"/>
      <c r="H54" s="5">
        <v>0</v>
      </c>
      <c r="I54" s="5">
        <v>5</v>
      </c>
      <c r="J54" s="5"/>
      <c r="K54" s="5"/>
      <c r="L54" s="5"/>
      <c r="M54" s="5"/>
    </row>
    <row r="55" spans="1:13">
      <c r="A55" s="5" t="s">
        <v>446</v>
      </c>
      <c r="B55" s="5" t="s">
        <v>172</v>
      </c>
      <c r="C55" s="5">
        <v>100</v>
      </c>
      <c r="D55" s="5"/>
      <c r="E55" s="5"/>
      <c r="F55" s="5">
        <v>150</v>
      </c>
      <c r="G55" s="5"/>
      <c r="H55" s="5">
        <v>0</v>
      </c>
      <c r="I55" s="5">
        <v>5</v>
      </c>
      <c r="J55" s="5"/>
      <c r="K55" s="5"/>
      <c r="L55" s="5"/>
      <c r="M55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3"/>
  <sheetViews>
    <sheetView topLeftCell="A22" workbookViewId="0">
      <selection activeCell="G22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4.625" style="1" bestFit="1" customWidth="1"/>
    <col min="6" max="6" width="5.8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8" style="1" bestFit="1" customWidth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447</v>
      </c>
      <c r="B2" s="10" t="s">
        <v>10</v>
      </c>
      <c r="C2" s="10">
        <v>40</v>
      </c>
      <c r="D2" s="5">
        <v>1</v>
      </c>
      <c r="E2" s="5"/>
      <c r="F2" s="5">
        <v>250</v>
      </c>
      <c r="G2" s="9"/>
      <c r="H2" s="5">
        <v>1</v>
      </c>
      <c r="I2" s="5">
        <v>1</v>
      </c>
      <c r="J2" s="5">
        <f>MAX(I:I)</f>
        <v>4</v>
      </c>
      <c r="K2" s="5">
        <v>77</v>
      </c>
      <c r="L2" s="5">
        <v>57</v>
      </c>
      <c r="M2" s="5">
        <v>41</v>
      </c>
    </row>
    <row r="3" spans="1:13">
      <c r="A3" s="9" t="s">
        <v>448</v>
      </c>
      <c r="B3" s="10" t="s">
        <v>10</v>
      </c>
      <c r="C3" s="10">
        <v>20</v>
      </c>
      <c r="D3" s="10">
        <v>1</v>
      </c>
      <c r="E3" s="10"/>
      <c r="F3" s="5">
        <v>250</v>
      </c>
      <c r="G3" s="5"/>
      <c r="H3" s="5">
        <v>1</v>
      </c>
      <c r="I3" s="5">
        <v>1</v>
      </c>
      <c r="J3" s="5" t="s">
        <v>449</v>
      </c>
      <c r="K3" s="5">
        <v>109</v>
      </c>
      <c r="L3" s="5">
        <v>107</v>
      </c>
      <c r="M3" s="5">
        <v>96</v>
      </c>
    </row>
    <row r="4" spans="1:13">
      <c r="A4" s="9" t="s">
        <v>450</v>
      </c>
      <c r="B4" s="10" t="s">
        <v>10</v>
      </c>
      <c r="C4" s="10">
        <v>10</v>
      </c>
      <c r="D4" s="10">
        <v>1</v>
      </c>
      <c r="E4" s="10"/>
      <c r="F4" s="5">
        <v>250</v>
      </c>
      <c r="G4" s="5"/>
      <c r="H4" s="5">
        <v>1</v>
      </c>
      <c r="I4" s="5">
        <v>1</v>
      </c>
      <c r="J4" s="5"/>
      <c r="K4" s="5">
        <v>237</v>
      </c>
      <c r="L4" s="5">
        <v>204</v>
      </c>
      <c r="M4" s="5">
        <v>202</v>
      </c>
    </row>
    <row r="5" spans="1:13">
      <c r="A5" s="5" t="s">
        <v>451</v>
      </c>
      <c r="B5" s="10" t="s">
        <v>10</v>
      </c>
      <c r="C5" s="5">
        <v>5</v>
      </c>
      <c r="D5" s="5">
        <v>1</v>
      </c>
      <c r="E5" s="5"/>
      <c r="F5" s="5">
        <v>250</v>
      </c>
      <c r="G5" s="5"/>
      <c r="H5" s="5">
        <v>1</v>
      </c>
      <c r="I5" s="5">
        <v>1</v>
      </c>
      <c r="J5" s="5"/>
      <c r="K5" s="5">
        <v>428</v>
      </c>
      <c r="L5" s="5"/>
      <c r="M5" s="5">
        <v>399</v>
      </c>
    </row>
    <row r="6" spans="1:13">
      <c r="A6" s="5" t="s">
        <v>452</v>
      </c>
      <c r="B6" s="10" t="s">
        <v>10</v>
      </c>
      <c r="C6" s="5">
        <v>30</v>
      </c>
      <c r="D6" s="5">
        <v>1</v>
      </c>
      <c r="E6" s="5"/>
      <c r="F6" s="5">
        <v>250</v>
      </c>
      <c r="G6" s="5"/>
      <c r="H6" s="5">
        <v>1</v>
      </c>
      <c r="I6" s="5">
        <v>1</v>
      </c>
      <c r="J6" s="5"/>
      <c r="K6" s="5">
        <v>77</v>
      </c>
      <c r="L6" s="5"/>
      <c r="M6" s="5">
        <v>50</v>
      </c>
    </row>
    <row r="7" spans="1:13">
      <c r="A7" s="5" t="s">
        <v>453</v>
      </c>
      <c r="B7" s="10" t="s">
        <v>10</v>
      </c>
      <c r="C7" s="5">
        <v>40</v>
      </c>
      <c r="D7" s="5">
        <v>1</v>
      </c>
      <c r="E7" s="5"/>
      <c r="F7" s="5">
        <v>250</v>
      </c>
      <c r="G7" s="5"/>
      <c r="H7" s="5">
        <v>2</v>
      </c>
      <c r="I7" s="5">
        <v>1</v>
      </c>
      <c r="J7" s="5"/>
      <c r="K7" s="5">
        <v>77</v>
      </c>
      <c r="L7" s="5"/>
      <c r="M7" s="5">
        <v>49</v>
      </c>
    </row>
    <row r="8" spans="1:13">
      <c r="A8" s="5" t="s">
        <v>454</v>
      </c>
      <c r="B8" s="10" t="s">
        <v>10</v>
      </c>
      <c r="C8" s="5">
        <v>100</v>
      </c>
      <c r="D8" s="5">
        <v>1</v>
      </c>
      <c r="E8" s="5"/>
      <c r="F8" s="5">
        <v>250</v>
      </c>
      <c r="G8" s="5"/>
      <c r="H8" s="5">
        <v>0</v>
      </c>
      <c r="I8" s="5">
        <v>1</v>
      </c>
      <c r="J8" s="5"/>
      <c r="K8" s="5">
        <v>45</v>
      </c>
      <c r="L8" s="5"/>
      <c r="M8" s="5">
        <v>19</v>
      </c>
    </row>
    <row r="9" spans="1:13">
      <c r="A9" s="5" t="s">
        <v>455</v>
      </c>
      <c r="B9" s="10" t="s">
        <v>10</v>
      </c>
      <c r="C9" s="5">
        <v>70</v>
      </c>
      <c r="D9" s="5">
        <v>1</v>
      </c>
      <c r="E9" s="5"/>
      <c r="F9" s="5">
        <v>250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456</v>
      </c>
      <c r="B10" s="10" t="s">
        <v>10</v>
      </c>
      <c r="C10" s="5">
        <v>2</v>
      </c>
      <c r="D10" s="5">
        <v>1</v>
      </c>
      <c r="E10" s="5"/>
      <c r="F10" s="5">
        <v>250</v>
      </c>
      <c r="G10" s="5"/>
      <c r="H10" s="5">
        <v>0</v>
      </c>
      <c r="I10" s="5">
        <v>1</v>
      </c>
      <c r="J10" s="5"/>
      <c r="K10" s="5">
        <v>1036</v>
      </c>
      <c r="L10" s="5"/>
      <c r="M10" s="5">
        <v>972</v>
      </c>
    </row>
    <row r="11" spans="1:13">
      <c r="A11" s="5" t="s">
        <v>457</v>
      </c>
      <c r="B11" s="10" t="s">
        <v>10</v>
      </c>
      <c r="C11" s="5">
        <v>5</v>
      </c>
      <c r="D11" s="5"/>
      <c r="E11" s="5"/>
      <c r="F11" s="5">
        <v>250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5" t="s">
        <v>458</v>
      </c>
      <c r="B12" s="10" t="s">
        <v>10</v>
      </c>
      <c r="C12" s="5">
        <v>10</v>
      </c>
      <c r="D12" s="5"/>
      <c r="E12" s="5"/>
      <c r="F12" s="5">
        <v>250</v>
      </c>
      <c r="G12" s="5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5" t="s">
        <v>459</v>
      </c>
      <c r="B13" s="10" t="s">
        <v>10</v>
      </c>
      <c r="C13" s="5">
        <v>20</v>
      </c>
      <c r="D13" s="5"/>
      <c r="E13" s="5"/>
      <c r="F13" s="5">
        <v>250</v>
      </c>
      <c r="G13" s="5"/>
      <c r="H13" s="5">
        <v>0</v>
      </c>
      <c r="I13" s="5">
        <v>1</v>
      </c>
      <c r="J13" s="5"/>
      <c r="K13" s="5">
        <v>-1</v>
      </c>
      <c r="L13" s="5">
        <v>-1</v>
      </c>
      <c r="M13" s="5">
        <v>-1</v>
      </c>
    </row>
    <row r="14" spans="1:13">
      <c r="A14" s="5" t="s">
        <v>460</v>
      </c>
      <c r="B14" s="10" t="s">
        <v>10</v>
      </c>
      <c r="C14" s="5">
        <v>30</v>
      </c>
      <c r="D14" s="5"/>
      <c r="E14" s="5"/>
      <c r="F14" s="5">
        <v>250</v>
      </c>
      <c r="G14" s="5"/>
      <c r="H14" s="5">
        <v>0</v>
      </c>
      <c r="I14" s="5">
        <v>1</v>
      </c>
      <c r="J14" s="5"/>
      <c r="K14" s="5">
        <v>-1</v>
      </c>
      <c r="L14" s="5">
        <v>-1</v>
      </c>
      <c r="M14" s="5">
        <v>-1</v>
      </c>
    </row>
    <row r="15" spans="1:13">
      <c r="A15" s="5" t="s">
        <v>461</v>
      </c>
      <c r="B15" s="10" t="s">
        <v>10</v>
      </c>
      <c r="C15" s="5">
        <v>40</v>
      </c>
      <c r="D15" s="5"/>
      <c r="E15" s="5"/>
      <c r="F15" s="5">
        <v>250</v>
      </c>
      <c r="G15" s="5"/>
      <c r="H15" s="5">
        <v>0</v>
      </c>
      <c r="I15" s="5">
        <v>1</v>
      </c>
      <c r="J15" s="5"/>
      <c r="K15" s="5">
        <v>-1</v>
      </c>
      <c r="L15" s="5">
        <v>-1</v>
      </c>
      <c r="M15" s="5">
        <v>-1</v>
      </c>
    </row>
    <row r="16" spans="1:13">
      <c r="A16" s="5" t="s">
        <v>462</v>
      </c>
      <c r="B16" s="10" t="s">
        <v>10</v>
      </c>
      <c r="C16" s="5">
        <v>70</v>
      </c>
      <c r="D16" s="5"/>
      <c r="E16" s="5"/>
      <c r="F16" s="5">
        <v>250</v>
      </c>
      <c r="G16" s="5"/>
      <c r="H16" s="5">
        <v>0</v>
      </c>
      <c r="I16" s="5">
        <v>1</v>
      </c>
      <c r="J16" s="5"/>
      <c r="K16" s="5">
        <v>-1</v>
      </c>
      <c r="L16" s="5">
        <v>-1</v>
      </c>
      <c r="M16" s="5">
        <v>-1</v>
      </c>
    </row>
    <row r="17" spans="1:13">
      <c r="A17" s="4" t="s">
        <v>463</v>
      </c>
      <c r="B17" s="10" t="s">
        <v>10</v>
      </c>
      <c r="C17" s="4">
        <v>100</v>
      </c>
      <c r="D17" s="5"/>
      <c r="E17" s="5"/>
      <c r="F17" s="5">
        <v>250</v>
      </c>
      <c r="G17" s="4"/>
      <c r="H17" s="5">
        <v>0</v>
      </c>
      <c r="I17" s="5">
        <v>1</v>
      </c>
      <c r="J17" s="5"/>
      <c r="K17" s="5">
        <v>-1</v>
      </c>
      <c r="L17" s="5">
        <v>-1</v>
      </c>
      <c r="M17" s="5">
        <v>-1</v>
      </c>
    </row>
    <row r="18" spans="1:13">
      <c r="A18" s="8" t="s">
        <v>464</v>
      </c>
      <c r="B18" s="7" t="s">
        <v>25</v>
      </c>
      <c r="C18" s="8">
        <v>10</v>
      </c>
      <c r="D18" s="7">
        <v>0</v>
      </c>
      <c r="E18" s="7"/>
      <c r="F18" s="7">
        <v>75</v>
      </c>
      <c r="G18" s="8"/>
      <c r="H18" s="7">
        <v>1</v>
      </c>
      <c r="I18" s="7">
        <v>2</v>
      </c>
      <c r="J18" s="7" t="s">
        <v>465</v>
      </c>
      <c r="K18" s="7">
        <v>237</v>
      </c>
      <c r="L18" s="7"/>
      <c r="M18" s="7">
        <v>9999</v>
      </c>
    </row>
    <row r="19" spans="1:13" s="20" customFormat="1">
      <c r="A19" s="32" t="s">
        <v>466</v>
      </c>
      <c r="B19" s="20" t="s">
        <v>25</v>
      </c>
      <c r="C19" s="32">
        <v>5</v>
      </c>
      <c r="D19" s="20">
        <v>0</v>
      </c>
      <c r="F19" s="20">
        <v>75</v>
      </c>
      <c r="G19" s="32"/>
      <c r="H19" s="20">
        <v>1</v>
      </c>
      <c r="I19" s="20">
        <v>2</v>
      </c>
      <c r="K19" s="20">
        <v>428</v>
      </c>
      <c r="M19" s="20">
        <v>9999</v>
      </c>
    </row>
    <row r="20" spans="1:13">
      <c r="A20" s="8" t="s">
        <v>467</v>
      </c>
      <c r="B20" s="7" t="s">
        <v>25</v>
      </c>
      <c r="C20" s="8">
        <v>40</v>
      </c>
      <c r="D20" s="7">
        <v>0</v>
      </c>
      <c r="E20" s="7"/>
      <c r="F20" s="7">
        <v>75</v>
      </c>
      <c r="G20" s="7"/>
      <c r="H20" s="7">
        <v>1</v>
      </c>
      <c r="I20" s="7">
        <v>2</v>
      </c>
      <c r="J20" s="7"/>
      <c r="K20" s="7">
        <v>77</v>
      </c>
      <c r="L20" s="7"/>
      <c r="M20" s="7">
        <v>62</v>
      </c>
    </row>
    <row r="21" spans="1:13">
      <c r="A21" s="8" t="s">
        <v>468</v>
      </c>
      <c r="B21" s="7" t="s">
        <v>25</v>
      </c>
      <c r="C21" s="8">
        <v>20</v>
      </c>
      <c r="D21" s="7">
        <v>0</v>
      </c>
      <c r="E21" s="7"/>
      <c r="F21" s="7">
        <v>75</v>
      </c>
      <c r="G21" s="8"/>
      <c r="H21" s="7">
        <v>1</v>
      </c>
      <c r="I21" s="7">
        <v>2</v>
      </c>
      <c r="J21" s="7"/>
      <c r="K21" s="7">
        <v>109</v>
      </c>
      <c r="L21" s="7"/>
      <c r="M21" s="7">
        <v>110</v>
      </c>
    </row>
    <row r="22" spans="1:13">
      <c r="A22" s="8" t="s">
        <v>469</v>
      </c>
      <c r="B22" s="7" t="s">
        <v>25</v>
      </c>
      <c r="C22" s="8">
        <v>30</v>
      </c>
      <c r="D22" s="7">
        <v>0</v>
      </c>
      <c r="E22" s="7"/>
      <c r="F22" s="7">
        <v>75</v>
      </c>
      <c r="G22" s="8"/>
      <c r="H22" s="7">
        <v>1</v>
      </c>
      <c r="I22" s="7">
        <v>2</v>
      </c>
      <c r="J22" s="7"/>
      <c r="K22" s="7">
        <v>77</v>
      </c>
      <c r="L22" s="7"/>
      <c r="M22" s="7">
        <v>85</v>
      </c>
    </row>
    <row r="23" spans="1:13">
      <c r="A23" s="8" t="s">
        <v>470</v>
      </c>
      <c r="B23" s="7" t="s">
        <v>25</v>
      </c>
      <c r="C23" s="8">
        <v>10</v>
      </c>
      <c r="D23" s="7">
        <v>0</v>
      </c>
      <c r="E23" s="7"/>
      <c r="F23" s="7">
        <v>75</v>
      </c>
      <c r="G23" s="8"/>
      <c r="H23" s="7">
        <v>2</v>
      </c>
      <c r="I23" s="7">
        <v>2</v>
      </c>
      <c r="J23" s="7"/>
      <c r="K23" s="7">
        <v>236</v>
      </c>
      <c r="L23" s="7"/>
      <c r="M23" s="7">
        <v>9999</v>
      </c>
    </row>
    <row r="24" spans="1:13">
      <c r="A24" s="8" t="s">
        <v>471</v>
      </c>
      <c r="B24" s="7" t="s">
        <v>25</v>
      </c>
      <c r="C24" s="8">
        <v>5</v>
      </c>
      <c r="D24" s="7"/>
      <c r="E24" s="7"/>
      <c r="F24" s="7">
        <v>75</v>
      </c>
      <c r="G24" s="8"/>
      <c r="H24" s="7">
        <v>0</v>
      </c>
      <c r="I24" s="7">
        <v>2</v>
      </c>
      <c r="J24" s="7"/>
      <c r="K24" s="7">
        <v>-1</v>
      </c>
      <c r="L24" s="7">
        <v>-1</v>
      </c>
      <c r="M24" s="7">
        <v>-1</v>
      </c>
    </row>
    <row r="25" spans="1:13">
      <c r="A25" s="7" t="s">
        <v>472</v>
      </c>
      <c r="B25" s="7" t="s">
        <v>25</v>
      </c>
      <c r="C25" s="7">
        <v>10</v>
      </c>
      <c r="D25" s="7"/>
      <c r="E25" s="7"/>
      <c r="F25" s="7">
        <v>75</v>
      </c>
      <c r="G25" s="7"/>
      <c r="H25" s="7">
        <v>0</v>
      </c>
      <c r="I25" s="7">
        <v>2</v>
      </c>
      <c r="J25" s="7"/>
      <c r="K25" s="7">
        <v>-1</v>
      </c>
      <c r="L25" s="7">
        <v>-1</v>
      </c>
      <c r="M25" s="7">
        <v>-1</v>
      </c>
    </row>
    <row r="26" spans="1:13">
      <c r="A26" s="7" t="s">
        <v>473</v>
      </c>
      <c r="B26" s="7" t="s">
        <v>25</v>
      </c>
      <c r="C26" s="7">
        <v>20</v>
      </c>
      <c r="D26" s="7"/>
      <c r="E26" s="7"/>
      <c r="F26" s="7">
        <v>75</v>
      </c>
      <c r="G26" s="7"/>
      <c r="H26" s="7">
        <v>0</v>
      </c>
      <c r="I26" s="7">
        <v>2</v>
      </c>
      <c r="J26" s="7"/>
      <c r="K26" s="7">
        <v>-1</v>
      </c>
      <c r="L26" s="7">
        <v>-1</v>
      </c>
      <c r="M26" s="7">
        <v>-1</v>
      </c>
    </row>
    <row r="27" spans="1:13">
      <c r="A27" s="7" t="s">
        <v>474</v>
      </c>
      <c r="B27" s="7" t="s">
        <v>25</v>
      </c>
      <c r="C27" s="7">
        <v>30</v>
      </c>
      <c r="D27" s="7"/>
      <c r="E27" s="7"/>
      <c r="F27" s="7">
        <v>75</v>
      </c>
      <c r="G27" s="7"/>
      <c r="H27" s="7">
        <v>0</v>
      </c>
      <c r="I27" s="7">
        <v>2</v>
      </c>
      <c r="J27" s="7"/>
      <c r="K27" s="7">
        <v>-1</v>
      </c>
      <c r="L27" s="7">
        <v>-1</v>
      </c>
      <c r="M27" s="7">
        <v>-1</v>
      </c>
    </row>
    <row r="28" spans="1:13">
      <c r="A28" s="7" t="s">
        <v>475</v>
      </c>
      <c r="B28" s="7" t="s">
        <v>25</v>
      </c>
      <c r="C28" s="7">
        <v>40</v>
      </c>
      <c r="D28" s="7"/>
      <c r="E28" s="7"/>
      <c r="F28" s="7">
        <v>75</v>
      </c>
      <c r="G28" s="7"/>
      <c r="H28" s="7"/>
      <c r="I28" s="7"/>
      <c r="J28" s="7"/>
      <c r="K28" s="7">
        <v>-1</v>
      </c>
      <c r="L28" s="7">
        <v>-1</v>
      </c>
      <c r="M28" s="7">
        <v>-1</v>
      </c>
    </row>
    <row r="29" spans="1:13">
      <c r="A29" s="7" t="s">
        <v>476</v>
      </c>
      <c r="B29" s="7" t="s">
        <v>25</v>
      </c>
      <c r="C29" s="7">
        <v>100</v>
      </c>
      <c r="D29" s="7"/>
      <c r="E29" s="7"/>
      <c r="F29" s="7">
        <v>75</v>
      </c>
      <c r="G29" s="7"/>
      <c r="H29" s="7">
        <v>0</v>
      </c>
      <c r="I29" s="7">
        <v>2</v>
      </c>
      <c r="J29" s="7"/>
      <c r="K29" s="7">
        <v>-1</v>
      </c>
      <c r="L29" s="7">
        <v>-1</v>
      </c>
      <c r="M29" s="7">
        <v>-1</v>
      </c>
    </row>
    <row r="30" spans="1:13">
      <c r="A30" s="5" t="s">
        <v>477</v>
      </c>
      <c r="B30" s="4" t="s">
        <v>93</v>
      </c>
      <c r="C30" s="5">
        <v>20</v>
      </c>
      <c r="D30" s="5">
        <v>1</v>
      </c>
      <c r="E30" s="5"/>
      <c r="F30" s="4">
        <v>150</v>
      </c>
      <c r="G30" s="5"/>
      <c r="H30" s="5">
        <v>1</v>
      </c>
      <c r="I30" s="5">
        <v>3</v>
      </c>
      <c r="J30" s="5"/>
      <c r="K30" s="5">
        <v>109</v>
      </c>
      <c r="L30" s="5"/>
      <c r="M30" s="5">
        <v>98</v>
      </c>
    </row>
    <row r="31" spans="1:13">
      <c r="A31" s="5" t="s">
        <v>478</v>
      </c>
      <c r="B31" s="4" t="s">
        <v>93</v>
      </c>
      <c r="C31" s="5">
        <v>5</v>
      </c>
      <c r="D31" s="5">
        <v>0</v>
      </c>
      <c r="E31" s="5"/>
      <c r="F31" s="4">
        <v>150</v>
      </c>
      <c r="G31" s="5"/>
      <c r="H31" s="5">
        <v>1</v>
      </c>
      <c r="I31" s="5">
        <v>3</v>
      </c>
      <c r="J31" s="5"/>
      <c r="K31" s="5">
        <v>428</v>
      </c>
      <c r="L31" s="5"/>
      <c r="M31" s="5">
        <v>424</v>
      </c>
    </row>
    <row r="32" spans="1:13">
      <c r="A32" s="5" t="s">
        <v>479</v>
      </c>
      <c r="B32" s="4" t="s">
        <v>93</v>
      </c>
      <c r="C32" s="5">
        <v>10</v>
      </c>
      <c r="D32" s="5">
        <v>0</v>
      </c>
      <c r="E32" s="5">
        <v>0</v>
      </c>
      <c r="F32" s="4">
        <v>150</v>
      </c>
      <c r="G32" s="5"/>
      <c r="H32" s="5">
        <v>1</v>
      </c>
      <c r="I32" s="5">
        <v>3</v>
      </c>
      <c r="J32" s="5"/>
      <c r="K32" s="5">
        <v>237</v>
      </c>
      <c r="L32" s="5"/>
      <c r="M32" s="5">
        <v>9999</v>
      </c>
    </row>
    <row r="33" spans="1:13">
      <c r="A33" s="5" t="s">
        <v>480</v>
      </c>
      <c r="B33" s="4" t="s">
        <v>93</v>
      </c>
      <c r="C33" s="5">
        <v>40</v>
      </c>
      <c r="D33" s="5">
        <v>1</v>
      </c>
      <c r="E33" s="5"/>
      <c r="F33" s="4">
        <v>150</v>
      </c>
      <c r="G33" s="5"/>
      <c r="H33" s="5">
        <v>1</v>
      </c>
      <c r="I33" s="5">
        <v>3</v>
      </c>
      <c r="J33" s="5"/>
      <c r="K33" s="5">
        <v>77</v>
      </c>
      <c r="L33" s="5"/>
      <c r="M33" s="5">
        <v>52</v>
      </c>
    </row>
    <row r="34" spans="1:13">
      <c r="A34" s="5" t="s">
        <v>481</v>
      </c>
      <c r="B34" s="4" t="s">
        <v>93</v>
      </c>
      <c r="C34" s="5">
        <v>30</v>
      </c>
      <c r="D34" s="5">
        <v>1</v>
      </c>
      <c r="E34" s="5"/>
      <c r="F34" s="4">
        <v>150</v>
      </c>
      <c r="G34" s="11"/>
      <c r="H34" s="5">
        <v>1</v>
      </c>
      <c r="I34" s="5">
        <v>3</v>
      </c>
      <c r="J34" s="5"/>
      <c r="K34" s="5">
        <v>77</v>
      </c>
      <c r="L34" s="5"/>
      <c r="M34" s="5">
        <v>63</v>
      </c>
    </row>
    <row r="35" spans="1:13">
      <c r="A35" s="5" t="s">
        <v>482</v>
      </c>
      <c r="B35" s="4" t="s">
        <v>93</v>
      </c>
      <c r="C35" s="5">
        <v>20</v>
      </c>
      <c r="D35" s="5">
        <v>1</v>
      </c>
      <c r="E35" s="5"/>
      <c r="F35" s="4">
        <v>150</v>
      </c>
      <c r="G35" s="5"/>
      <c r="H35" s="5">
        <v>2</v>
      </c>
      <c r="I35" s="5">
        <v>3</v>
      </c>
      <c r="J35" s="5"/>
      <c r="K35" s="5">
        <v>109</v>
      </c>
      <c r="L35" s="5"/>
      <c r="M35" s="5">
        <v>97</v>
      </c>
    </row>
    <row r="36" spans="1:13">
      <c r="A36" s="5" t="s">
        <v>483</v>
      </c>
      <c r="B36" s="4" t="s">
        <v>93</v>
      </c>
      <c r="C36" s="5">
        <v>5</v>
      </c>
      <c r="D36" s="5"/>
      <c r="E36" s="5"/>
      <c r="F36" s="4">
        <v>150</v>
      </c>
      <c r="G36" s="5"/>
      <c r="H36" s="5">
        <v>0</v>
      </c>
      <c r="I36" s="5">
        <v>3</v>
      </c>
      <c r="J36" s="5"/>
      <c r="K36" s="5">
        <v>-1</v>
      </c>
      <c r="L36" s="5">
        <v>-1</v>
      </c>
      <c r="M36" s="5">
        <v>-1</v>
      </c>
    </row>
    <row r="37" spans="1:13">
      <c r="A37" s="5" t="s">
        <v>484</v>
      </c>
      <c r="B37" s="4" t="s">
        <v>93</v>
      </c>
      <c r="C37" s="5">
        <v>10</v>
      </c>
      <c r="D37" s="5"/>
      <c r="E37" s="5"/>
      <c r="F37" s="4">
        <v>150</v>
      </c>
      <c r="G37" s="5"/>
      <c r="H37" s="5">
        <v>0</v>
      </c>
      <c r="I37" s="5">
        <v>3</v>
      </c>
      <c r="J37" s="5"/>
      <c r="K37" s="5">
        <v>-1</v>
      </c>
      <c r="L37" s="5">
        <v>-1</v>
      </c>
      <c r="M37" s="5">
        <v>-1</v>
      </c>
    </row>
    <row r="38" spans="1:13">
      <c r="A38" s="5" t="s">
        <v>485</v>
      </c>
      <c r="B38" s="4" t="s">
        <v>93</v>
      </c>
      <c r="C38" s="5">
        <v>20</v>
      </c>
      <c r="D38" s="5"/>
      <c r="E38" s="5"/>
      <c r="F38" s="4">
        <v>150</v>
      </c>
      <c r="G38" s="5"/>
      <c r="H38" s="5">
        <v>0</v>
      </c>
      <c r="I38" s="5">
        <v>3</v>
      </c>
      <c r="J38" s="5"/>
      <c r="K38" s="5">
        <v>-1</v>
      </c>
      <c r="L38" s="5">
        <v>-1</v>
      </c>
      <c r="M38" s="5">
        <v>-1</v>
      </c>
    </row>
    <row r="39" spans="1:13">
      <c r="A39" s="5" t="s">
        <v>486</v>
      </c>
      <c r="B39" s="4" t="s">
        <v>93</v>
      </c>
      <c r="C39" s="5">
        <v>30</v>
      </c>
      <c r="D39" s="5"/>
      <c r="E39" s="5"/>
      <c r="F39" s="4">
        <v>150</v>
      </c>
      <c r="G39" s="5"/>
      <c r="H39" s="5">
        <v>0</v>
      </c>
      <c r="I39" s="5">
        <v>3</v>
      </c>
      <c r="J39" s="5"/>
      <c r="K39" s="5">
        <v>-1</v>
      </c>
      <c r="L39" s="5">
        <v>-1</v>
      </c>
      <c r="M39" s="5">
        <v>-1</v>
      </c>
    </row>
    <row r="40" spans="1:13">
      <c r="A40" s="5" t="s">
        <v>487</v>
      </c>
      <c r="B40" s="4" t="s">
        <v>93</v>
      </c>
      <c r="C40" s="5">
        <v>40</v>
      </c>
      <c r="D40" s="5"/>
      <c r="E40" s="5"/>
      <c r="F40" s="4">
        <v>150</v>
      </c>
      <c r="G40" s="5"/>
      <c r="H40" s="5">
        <v>0</v>
      </c>
      <c r="I40" s="5">
        <v>3</v>
      </c>
      <c r="J40" s="5"/>
      <c r="K40" s="5">
        <v>-1</v>
      </c>
      <c r="L40" s="5">
        <v>-1</v>
      </c>
      <c r="M40" s="5">
        <v>-1</v>
      </c>
    </row>
    <row r="41" spans="1:13">
      <c r="A41" s="7" t="s">
        <v>488</v>
      </c>
      <c r="B41" s="7" t="s">
        <v>102</v>
      </c>
      <c r="C41" s="7">
        <v>20</v>
      </c>
      <c r="D41" s="7">
        <v>0</v>
      </c>
      <c r="E41" s="7"/>
      <c r="F41" s="7">
        <v>150</v>
      </c>
      <c r="G41" s="7"/>
      <c r="H41" s="7">
        <v>1</v>
      </c>
      <c r="I41" s="7">
        <v>4</v>
      </c>
      <c r="J41" s="7"/>
      <c r="K41" s="7">
        <v>109</v>
      </c>
      <c r="L41" s="7"/>
      <c r="M41" s="7">
        <v>9999</v>
      </c>
    </row>
    <row r="42" spans="1:13">
      <c r="A42" s="7" t="s">
        <v>489</v>
      </c>
      <c r="B42" s="7" t="s">
        <v>102</v>
      </c>
      <c r="C42" s="7">
        <v>10</v>
      </c>
      <c r="D42" s="7">
        <v>1</v>
      </c>
      <c r="E42" s="7"/>
      <c r="F42" s="7">
        <v>150</v>
      </c>
      <c r="G42" s="7"/>
      <c r="H42" s="7">
        <v>1</v>
      </c>
      <c r="I42" s="7">
        <v>4</v>
      </c>
      <c r="J42" s="7"/>
      <c r="K42" s="7">
        <v>236</v>
      </c>
      <c r="L42" s="7"/>
      <c r="M42" s="7">
        <v>207</v>
      </c>
    </row>
    <row r="43" spans="1:13">
      <c r="A43" s="7" t="s">
        <v>490</v>
      </c>
      <c r="B43" s="7" t="s">
        <v>102</v>
      </c>
      <c r="C43" s="7">
        <v>5</v>
      </c>
      <c r="D43" s="7">
        <v>0</v>
      </c>
      <c r="E43" s="7"/>
      <c r="F43" s="7">
        <v>150</v>
      </c>
      <c r="G43" s="7"/>
      <c r="H43" s="7">
        <v>1</v>
      </c>
      <c r="I43" s="7">
        <v>4</v>
      </c>
      <c r="J43" s="7"/>
      <c r="K43" s="7">
        <v>428</v>
      </c>
      <c r="L43" s="7"/>
      <c r="M43" s="7">
        <v>9999</v>
      </c>
    </row>
    <row r="44" spans="1:13">
      <c r="A44" s="7" t="s">
        <v>491</v>
      </c>
      <c r="B44" s="7" t="s">
        <v>102</v>
      </c>
      <c r="C44" s="7">
        <v>40</v>
      </c>
      <c r="D44" s="7">
        <v>1</v>
      </c>
      <c r="E44" s="7"/>
      <c r="F44" s="7">
        <v>150</v>
      </c>
      <c r="G44" s="7"/>
      <c r="H44" s="7">
        <v>1</v>
      </c>
      <c r="I44" s="7">
        <v>4</v>
      </c>
      <c r="J44" s="7"/>
      <c r="K44" s="7">
        <v>77</v>
      </c>
      <c r="L44" s="7"/>
      <c r="M44" s="7">
        <v>49</v>
      </c>
    </row>
    <row r="45" spans="1:13">
      <c r="A45" s="7" t="s">
        <v>492</v>
      </c>
      <c r="B45" s="7" t="s">
        <v>102</v>
      </c>
      <c r="C45" s="7">
        <v>30</v>
      </c>
      <c r="D45" s="7">
        <v>0</v>
      </c>
      <c r="E45" s="7">
        <v>0</v>
      </c>
      <c r="F45" s="7">
        <v>150</v>
      </c>
      <c r="G45" s="7"/>
      <c r="H45" s="7">
        <v>1</v>
      </c>
      <c r="I45" s="7">
        <v>4</v>
      </c>
      <c r="J45" s="7"/>
      <c r="K45" s="7">
        <v>77</v>
      </c>
      <c r="L45" s="7"/>
      <c r="M45" s="7">
        <v>9999</v>
      </c>
    </row>
    <row r="46" spans="1:13">
      <c r="A46" s="7" t="s">
        <v>493</v>
      </c>
      <c r="B46" s="7" t="s">
        <v>102</v>
      </c>
      <c r="C46" s="7">
        <v>20</v>
      </c>
      <c r="D46" s="7">
        <v>0</v>
      </c>
      <c r="E46" s="7">
        <v>0</v>
      </c>
      <c r="F46" s="7">
        <v>150</v>
      </c>
      <c r="G46" s="7"/>
      <c r="H46" s="7">
        <v>2</v>
      </c>
      <c r="I46" s="7">
        <v>4</v>
      </c>
      <c r="J46" s="7"/>
      <c r="K46" s="7">
        <v>109</v>
      </c>
      <c r="L46" s="7"/>
      <c r="M46" s="7">
        <v>9999</v>
      </c>
    </row>
    <row r="47" spans="1:13">
      <c r="A47" s="7" t="s">
        <v>494</v>
      </c>
      <c r="B47" s="7" t="s">
        <v>102</v>
      </c>
      <c r="C47" s="7">
        <v>40</v>
      </c>
      <c r="D47" s="7">
        <v>1</v>
      </c>
      <c r="E47" s="7"/>
      <c r="F47" s="7">
        <v>150</v>
      </c>
      <c r="G47" s="7"/>
      <c r="H47" s="7">
        <v>0</v>
      </c>
      <c r="I47" s="7">
        <v>4</v>
      </c>
      <c r="J47" s="7"/>
      <c r="K47" s="7">
        <v>77</v>
      </c>
      <c r="L47" s="7"/>
      <c r="M47" s="7">
        <v>55</v>
      </c>
    </row>
    <row r="48" spans="1:13">
      <c r="A48" s="7" t="s">
        <v>495</v>
      </c>
      <c r="B48" s="7" t="s">
        <v>102</v>
      </c>
      <c r="C48" s="7">
        <v>5</v>
      </c>
      <c r="D48" s="7"/>
      <c r="E48" s="7"/>
      <c r="F48" s="7">
        <v>150</v>
      </c>
      <c r="G48" s="7"/>
      <c r="H48" s="7">
        <v>0</v>
      </c>
      <c r="I48" s="7">
        <v>4</v>
      </c>
      <c r="J48" s="7"/>
      <c r="K48" s="7">
        <v>-1</v>
      </c>
      <c r="L48" s="7">
        <v>-1</v>
      </c>
      <c r="M48" s="7">
        <v>-1</v>
      </c>
    </row>
    <row r="49" spans="1:13">
      <c r="A49" s="7" t="s">
        <v>496</v>
      </c>
      <c r="B49" s="7" t="s">
        <v>102</v>
      </c>
      <c r="C49" s="7">
        <v>10</v>
      </c>
      <c r="D49" s="7"/>
      <c r="E49" s="7"/>
      <c r="F49" s="7">
        <v>150</v>
      </c>
      <c r="G49" s="7"/>
      <c r="H49" s="7">
        <v>0</v>
      </c>
      <c r="I49" s="7">
        <v>4</v>
      </c>
      <c r="J49" s="7"/>
      <c r="K49" s="7">
        <v>-1</v>
      </c>
      <c r="L49" s="7">
        <v>-1</v>
      </c>
      <c r="M49" s="7">
        <v>-1</v>
      </c>
    </row>
    <row r="50" spans="1:13">
      <c r="A50" s="7" t="s">
        <v>497</v>
      </c>
      <c r="B50" s="7" t="s">
        <v>102</v>
      </c>
      <c r="C50" s="7">
        <v>20</v>
      </c>
      <c r="D50" s="7"/>
      <c r="E50" s="7"/>
      <c r="F50" s="7">
        <v>150</v>
      </c>
      <c r="G50" s="7"/>
      <c r="H50" s="7">
        <v>0</v>
      </c>
      <c r="I50" s="7">
        <v>4</v>
      </c>
      <c r="J50" s="7"/>
      <c r="K50" s="7">
        <v>-1</v>
      </c>
      <c r="L50" s="7">
        <v>-1</v>
      </c>
      <c r="M50" s="7">
        <v>-1</v>
      </c>
    </row>
    <row r="51" spans="1:13">
      <c r="A51" s="7" t="s">
        <v>498</v>
      </c>
      <c r="B51" s="7" t="s">
        <v>102</v>
      </c>
      <c r="C51" s="7">
        <v>30</v>
      </c>
      <c r="D51" s="7"/>
      <c r="E51" s="7"/>
      <c r="F51" s="7">
        <v>150</v>
      </c>
      <c r="G51" s="7"/>
      <c r="H51" s="7">
        <v>0</v>
      </c>
      <c r="I51" s="7">
        <v>4</v>
      </c>
      <c r="J51" s="7"/>
      <c r="K51" s="7">
        <v>-1</v>
      </c>
      <c r="L51" s="7">
        <v>-1</v>
      </c>
      <c r="M51" s="7">
        <v>-1</v>
      </c>
    </row>
    <row r="52" spans="1:13">
      <c r="A52" s="7" t="s">
        <v>499</v>
      </c>
      <c r="B52" s="7" t="s">
        <v>102</v>
      </c>
      <c r="C52" s="7">
        <v>40</v>
      </c>
      <c r="D52" s="7"/>
      <c r="E52" s="7"/>
      <c r="F52" s="7">
        <v>150</v>
      </c>
      <c r="G52" s="7"/>
      <c r="H52" s="7">
        <v>0</v>
      </c>
      <c r="I52" s="7">
        <v>4</v>
      </c>
      <c r="J52" s="7"/>
      <c r="K52" s="7">
        <v>-1</v>
      </c>
      <c r="L52" s="7">
        <v>-1</v>
      </c>
      <c r="M52" s="7">
        <v>-1</v>
      </c>
    </row>
    <row r="53" spans="1:13">
      <c r="A53" s="7" t="s">
        <v>500</v>
      </c>
      <c r="B53" s="7" t="s">
        <v>102</v>
      </c>
      <c r="C53" s="7">
        <v>100</v>
      </c>
      <c r="D53" s="7"/>
      <c r="E53" s="7"/>
      <c r="F53" s="7">
        <v>150</v>
      </c>
      <c r="G53" s="7"/>
      <c r="H53" s="7">
        <v>0</v>
      </c>
      <c r="I53" s="7">
        <v>4</v>
      </c>
      <c r="J53" s="7"/>
      <c r="K53" s="7">
        <v>-1</v>
      </c>
      <c r="L53" s="7">
        <v>-1</v>
      </c>
      <c r="M53" s="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4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4.625" style="1" bestFit="1" customWidth="1"/>
    <col min="6" max="6" width="4.75" style="1" bestFit="1" customWidth="1"/>
    <col min="7" max="7" width="55" style="1" bestFit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501</v>
      </c>
      <c r="B2" s="10" t="s">
        <v>68</v>
      </c>
      <c r="C2" s="10">
        <v>5</v>
      </c>
      <c r="D2" s="5">
        <v>1</v>
      </c>
      <c r="E2" s="5"/>
      <c r="F2" s="5">
        <v>250</v>
      </c>
      <c r="G2" s="9"/>
      <c r="H2" s="5">
        <v>1</v>
      </c>
      <c r="I2" s="5">
        <v>1</v>
      </c>
      <c r="J2" s="5">
        <f>MAX(I:I)</f>
        <v>4</v>
      </c>
      <c r="K2" s="5">
        <v>428</v>
      </c>
      <c r="L2" s="5">
        <v>403</v>
      </c>
      <c r="M2" s="5">
        <v>382</v>
      </c>
    </row>
    <row r="3" spans="1:13">
      <c r="A3" s="9" t="s">
        <v>502</v>
      </c>
      <c r="B3" s="10" t="s">
        <v>68</v>
      </c>
      <c r="C3" s="10">
        <v>20</v>
      </c>
      <c r="D3" s="10">
        <v>1</v>
      </c>
      <c r="E3" s="10"/>
      <c r="F3" s="5">
        <v>250</v>
      </c>
      <c r="G3" s="5"/>
      <c r="H3" s="5">
        <v>1</v>
      </c>
      <c r="I3" s="5">
        <v>1</v>
      </c>
      <c r="J3" s="5"/>
      <c r="K3" s="5">
        <v>109</v>
      </c>
      <c r="L3" s="5"/>
      <c r="M3" s="5">
        <v>87</v>
      </c>
    </row>
    <row r="4" spans="1:13">
      <c r="A4" s="9" t="s">
        <v>503</v>
      </c>
      <c r="B4" s="10" t="s">
        <v>68</v>
      </c>
      <c r="C4" s="10">
        <v>10</v>
      </c>
      <c r="D4" s="10">
        <v>1</v>
      </c>
      <c r="E4" s="10"/>
      <c r="F4" s="5">
        <v>250</v>
      </c>
      <c r="G4" s="5"/>
      <c r="H4" s="5">
        <v>1</v>
      </c>
      <c r="I4" s="5">
        <v>1</v>
      </c>
      <c r="J4" s="5"/>
      <c r="K4" s="5">
        <v>237</v>
      </c>
      <c r="L4" s="5"/>
      <c r="M4" s="5">
        <v>207</v>
      </c>
    </row>
    <row r="5" spans="1:13">
      <c r="A5" s="5" t="s">
        <v>504</v>
      </c>
      <c r="B5" s="10" t="s">
        <v>68</v>
      </c>
      <c r="C5" s="5">
        <v>40</v>
      </c>
      <c r="D5" s="5">
        <v>1</v>
      </c>
      <c r="E5" s="5"/>
      <c r="F5" s="5">
        <v>250</v>
      </c>
      <c r="G5" s="5"/>
      <c r="H5" s="5">
        <v>1</v>
      </c>
      <c r="I5" s="5">
        <v>1</v>
      </c>
      <c r="J5" s="5"/>
      <c r="K5" s="5">
        <v>77</v>
      </c>
      <c r="L5" s="5"/>
      <c r="M5" s="5">
        <v>51</v>
      </c>
    </row>
    <row r="6" spans="1:13">
      <c r="A6" s="5" t="s">
        <v>505</v>
      </c>
      <c r="B6" s="10" t="str">
        <f>B5</f>
        <v>M1</v>
      </c>
      <c r="C6" s="5">
        <v>30</v>
      </c>
      <c r="D6" s="5">
        <v>1</v>
      </c>
      <c r="E6" s="5"/>
      <c r="F6" s="5">
        <v>250</v>
      </c>
      <c r="G6" s="5"/>
      <c r="H6" s="5">
        <v>1</v>
      </c>
      <c r="I6" s="5">
        <v>1</v>
      </c>
      <c r="J6" s="5"/>
      <c r="K6" s="5">
        <v>77</v>
      </c>
      <c r="L6" s="5"/>
      <c r="M6" s="5">
        <v>61</v>
      </c>
    </row>
    <row r="7" spans="1:13">
      <c r="A7" s="5" t="s">
        <v>506</v>
      </c>
      <c r="B7" s="10" t="str">
        <f t="shared" ref="B7:B15" si="0">B6</f>
        <v>M1</v>
      </c>
      <c r="C7" s="5">
        <v>5</v>
      </c>
      <c r="D7" s="5">
        <v>1</v>
      </c>
      <c r="E7" s="5"/>
      <c r="F7" s="5">
        <v>250</v>
      </c>
      <c r="G7" s="5"/>
      <c r="H7" s="5">
        <v>2</v>
      </c>
      <c r="I7" s="5">
        <v>1</v>
      </c>
      <c r="J7" s="5"/>
      <c r="K7" s="5">
        <v>428</v>
      </c>
      <c r="L7" s="5"/>
      <c r="M7" s="5">
        <v>398</v>
      </c>
    </row>
    <row r="8" spans="1:13">
      <c r="A8" s="5" t="s">
        <v>507</v>
      </c>
      <c r="B8" s="10" t="str">
        <f t="shared" si="0"/>
        <v>M1</v>
      </c>
      <c r="C8" s="5">
        <v>100</v>
      </c>
      <c r="D8" s="5">
        <v>1</v>
      </c>
      <c r="E8" s="5"/>
      <c r="F8" s="5">
        <v>250</v>
      </c>
      <c r="G8" s="5"/>
      <c r="H8" s="5">
        <v>0</v>
      </c>
      <c r="I8" s="5">
        <v>1</v>
      </c>
      <c r="J8" s="5"/>
      <c r="K8" s="5">
        <v>44</v>
      </c>
      <c r="L8" s="5"/>
      <c r="M8" s="5">
        <v>26</v>
      </c>
    </row>
    <row r="9" spans="1:13">
      <c r="A9" s="5" t="s">
        <v>508</v>
      </c>
      <c r="B9" s="10" t="s">
        <v>68</v>
      </c>
      <c r="C9" s="5">
        <v>70</v>
      </c>
      <c r="D9" s="5">
        <v>1</v>
      </c>
      <c r="E9" s="5"/>
      <c r="F9" s="5">
        <v>250</v>
      </c>
      <c r="G9" s="5"/>
      <c r="H9" s="5">
        <v>0</v>
      </c>
      <c r="I9" s="5">
        <v>1</v>
      </c>
      <c r="J9" s="5"/>
      <c r="K9" s="5">
        <v>44</v>
      </c>
      <c r="L9" s="5"/>
      <c r="M9" s="5">
        <v>26</v>
      </c>
    </row>
    <row r="10" spans="1:13">
      <c r="A10" s="5" t="s">
        <v>509</v>
      </c>
      <c r="B10" s="10" t="str">
        <f t="shared" si="0"/>
        <v>M1</v>
      </c>
      <c r="C10" s="5">
        <v>5</v>
      </c>
      <c r="D10" s="5">
        <v>-1</v>
      </c>
      <c r="E10" s="5">
        <v>-1</v>
      </c>
      <c r="F10" s="5">
        <v>250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510</v>
      </c>
      <c r="B11" s="10" t="str">
        <f t="shared" si="0"/>
        <v>M1</v>
      </c>
      <c r="C11" s="5">
        <v>10</v>
      </c>
      <c r="D11" s="5">
        <v>-1</v>
      </c>
      <c r="E11" s="5">
        <v>-1</v>
      </c>
      <c r="F11" s="5">
        <v>250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5" t="s">
        <v>511</v>
      </c>
      <c r="B12" s="10" t="str">
        <f t="shared" si="0"/>
        <v>M1</v>
      </c>
      <c r="C12" s="5">
        <v>20</v>
      </c>
      <c r="D12" s="5">
        <v>-1</v>
      </c>
      <c r="E12" s="5">
        <v>-1</v>
      </c>
      <c r="F12" s="5">
        <v>250</v>
      </c>
      <c r="G12" s="5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5" t="s">
        <v>512</v>
      </c>
      <c r="B13" s="10" t="str">
        <f t="shared" si="0"/>
        <v>M1</v>
      </c>
      <c r="C13" s="5">
        <v>30</v>
      </c>
      <c r="D13" s="5">
        <v>-1</v>
      </c>
      <c r="E13" s="5">
        <v>-1</v>
      </c>
      <c r="F13" s="5">
        <v>250</v>
      </c>
      <c r="G13" s="5"/>
      <c r="H13" s="5">
        <v>0</v>
      </c>
      <c r="I13" s="5">
        <v>1</v>
      </c>
      <c r="J13" s="5"/>
      <c r="K13" s="5">
        <v>-1</v>
      </c>
      <c r="L13" s="5">
        <v>-1</v>
      </c>
      <c r="M13" s="5">
        <v>-1</v>
      </c>
    </row>
    <row r="14" spans="1:13">
      <c r="A14" s="5" t="s">
        <v>513</v>
      </c>
      <c r="B14" s="10" t="str">
        <f t="shared" si="0"/>
        <v>M1</v>
      </c>
      <c r="C14" s="5">
        <v>40</v>
      </c>
      <c r="D14" s="5">
        <v>-1</v>
      </c>
      <c r="E14" s="5">
        <v>-1</v>
      </c>
      <c r="F14" s="5">
        <v>250</v>
      </c>
      <c r="G14" s="5"/>
      <c r="H14" s="5">
        <v>0</v>
      </c>
      <c r="I14" s="5">
        <v>1</v>
      </c>
      <c r="J14" s="5"/>
      <c r="K14" s="5">
        <v>-1</v>
      </c>
      <c r="L14" s="5">
        <v>-1</v>
      </c>
      <c r="M14" s="5">
        <v>-1</v>
      </c>
    </row>
    <row r="15" spans="1:13">
      <c r="A15" s="4" t="s">
        <v>514</v>
      </c>
      <c r="B15" s="10" t="str">
        <f t="shared" si="0"/>
        <v>M1</v>
      </c>
      <c r="C15" s="4">
        <v>100</v>
      </c>
      <c r="D15" s="5">
        <v>-1</v>
      </c>
      <c r="E15" s="5">
        <v>-1</v>
      </c>
      <c r="F15" s="5">
        <v>250</v>
      </c>
      <c r="G15" s="4"/>
      <c r="H15" s="5">
        <v>0</v>
      </c>
      <c r="I15" s="5">
        <v>1</v>
      </c>
      <c r="J15" s="5"/>
      <c r="K15" s="5">
        <v>-1</v>
      </c>
      <c r="L15" s="5">
        <v>-1</v>
      </c>
      <c r="M15" s="5">
        <v>-1</v>
      </c>
    </row>
    <row r="16" spans="1:13">
      <c r="A16" s="8" t="s">
        <v>515</v>
      </c>
      <c r="B16" s="7" t="s">
        <v>241</v>
      </c>
      <c r="C16" s="8">
        <v>40</v>
      </c>
      <c r="D16" s="7">
        <v>1</v>
      </c>
      <c r="E16" s="7">
        <v>2</v>
      </c>
      <c r="F16" s="7">
        <v>250</v>
      </c>
      <c r="G16" s="8"/>
      <c r="H16" s="7">
        <v>1</v>
      </c>
      <c r="I16" s="7">
        <v>2</v>
      </c>
      <c r="J16" s="7"/>
      <c r="K16" s="7">
        <v>76</v>
      </c>
      <c r="L16" s="7"/>
      <c r="M16" s="7">
        <v>46</v>
      </c>
    </row>
    <row r="17" spans="1:13">
      <c r="A17" s="8" t="s">
        <v>516</v>
      </c>
      <c r="B17" s="7" t="str">
        <f>B16</f>
        <v>M2</v>
      </c>
      <c r="C17" s="8">
        <v>5</v>
      </c>
      <c r="D17" s="7">
        <v>0</v>
      </c>
      <c r="E17" s="7">
        <v>0</v>
      </c>
      <c r="F17" s="7">
        <v>250</v>
      </c>
      <c r="G17" s="8"/>
      <c r="H17" s="7">
        <v>1</v>
      </c>
      <c r="I17" s="7">
        <v>2</v>
      </c>
      <c r="J17" s="7"/>
      <c r="K17" s="7">
        <v>428</v>
      </c>
      <c r="L17" s="7"/>
      <c r="M17" s="7">
        <v>9999</v>
      </c>
    </row>
    <row r="18" spans="1:13">
      <c r="A18" s="8" t="s">
        <v>517</v>
      </c>
      <c r="B18" s="7" t="str">
        <f t="shared" ref="B18:B26" si="1">B17</f>
        <v>M2</v>
      </c>
      <c r="C18" s="8">
        <v>10</v>
      </c>
      <c r="D18" s="7">
        <v>0</v>
      </c>
      <c r="E18" s="7">
        <v>1</v>
      </c>
      <c r="F18" s="7">
        <v>250</v>
      </c>
      <c r="G18" s="7"/>
      <c r="H18" s="7">
        <v>1</v>
      </c>
      <c r="I18" s="7">
        <v>2</v>
      </c>
      <c r="J18" s="7"/>
      <c r="K18" s="7">
        <v>237</v>
      </c>
      <c r="L18" s="7"/>
      <c r="M18" s="7">
        <v>207</v>
      </c>
    </row>
    <row r="19" spans="1:13">
      <c r="A19" s="8" t="s">
        <v>518</v>
      </c>
      <c r="B19" s="7" t="str">
        <f t="shared" si="1"/>
        <v>M2</v>
      </c>
      <c r="C19" s="8">
        <v>20</v>
      </c>
      <c r="D19" s="7">
        <v>0</v>
      </c>
      <c r="E19" s="7">
        <v>2</v>
      </c>
      <c r="F19" s="7">
        <v>250</v>
      </c>
      <c r="G19" s="8"/>
      <c r="H19" s="7">
        <v>1</v>
      </c>
      <c r="I19" s="7">
        <v>2</v>
      </c>
      <c r="J19" s="7"/>
      <c r="K19" s="7">
        <v>109</v>
      </c>
      <c r="L19" s="7"/>
      <c r="M19" s="7">
        <v>112</v>
      </c>
    </row>
    <row r="20" spans="1:13">
      <c r="A20" s="8" t="s">
        <v>519</v>
      </c>
      <c r="B20" s="7" t="str">
        <f t="shared" si="1"/>
        <v>M2</v>
      </c>
      <c r="C20" s="8">
        <v>30</v>
      </c>
      <c r="D20" s="7">
        <v>0</v>
      </c>
      <c r="E20" s="7">
        <v>1</v>
      </c>
      <c r="F20" s="7">
        <v>250</v>
      </c>
      <c r="G20" s="8"/>
      <c r="H20" s="7">
        <v>1</v>
      </c>
      <c r="I20" s="7">
        <v>2</v>
      </c>
      <c r="J20" s="7"/>
      <c r="K20" s="7">
        <v>77</v>
      </c>
      <c r="L20" s="7"/>
      <c r="M20" s="7">
        <v>93</v>
      </c>
    </row>
    <row r="21" spans="1:13">
      <c r="A21" s="8" t="s">
        <v>520</v>
      </c>
      <c r="B21" s="7" t="str">
        <f t="shared" si="1"/>
        <v>M2</v>
      </c>
      <c r="C21" s="8">
        <v>40</v>
      </c>
      <c r="D21" s="7">
        <v>1</v>
      </c>
      <c r="E21" s="7">
        <v>0</v>
      </c>
      <c r="F21" s="7">
        <v>250</v>
      </c>
      <c r="G21" s="8"/>
      <c r="H21" s="7">
        <v>2</v>
      </c>
      <c r="I21" s="7">
        <v>2</v>
      </c>
      <c r="J21" s="7"/>
      <c r="K21" s="7">
        <v>77</v>
      </c>
      <c r="L21" s="7"/>
      <c r="M21" s="7">
        <v>59</v>
      </c>
    </row>
    <row r="22" spans="1:13">
      <c r="A22" s="8" t="s">
        <v>521</v>
      </c>
      <c r="B22" s="7" t="str">
        <f t="shared" si="1"/>
        <v>M2</v>
      </c>
      <c r="C22" s="8">
        <v>5</v>
      </c>
      <c r="D22" s="7">
        <v>-1</v>
      </c>
      <c r="E22" s="7">
        <v>-1</v>
      </c>
      <c r="F22" s="7">
        <v>250</v>
      </c>
      <c r="G22" s="8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  <row r="23" spans="1:13">
      <c r="A23" s="7" t="s">
        <v>522</v>
      </c>
      <c r="B23" s="7" t="str">
        <f t="shared" si="1"/>
        <v>M2</v>
      </c>
      <c r="C23" s="7">
        <v>10</v>
      </c>
      <c r="D23" s="7">
        <v>-1</v>
      </c>
      <c r="E23" s="7">
        <v>-1</v>
      </c>
      <c r="F23" s="7">
        <v>250</v>
      </c>
      <c r="G23" s="7"/>
      <c r="H23" s="7">
        <v>0</v>
      </c>
      <c r="I23" s="7">
        <v>2</v>
      </c>
      <c r="J23" s="7"/>
      <c r="K23" s="7">
        <v>-1</v>
      </c>
      <c r="L23" s="7">
        <v>-1</v>
      </c>
      <c r="M23" s="7">
        <v>-1</v>
      </c>
    </row>
    <row r="24" spans="1:13">
      <c r="A24" s="7" t="s">
        <v>523</v>
      </c>
      <c r="B24" s="7" t="str">
        <f t="shared" si="1"/>
        <v>M2</v>
      </c>
      <c r="C24" s="7">
        <v>20</v>
      </c>
      <c r="D24" s="7">
        <v>-1</v>
      </c>
      <c r="E24" s="7">
        <v>-1</v>
      </c>
      <c r="F24" s="7">
        <v>250</v>
      </c>
      <c r="G24" s="7"/>
      <c r="H24" s="7">
        <v>0</v>
      </c>
      <c r="I24" s="7">
        <v>2</v>
      </c>
      <c r="J24" s="7"/>
      <c r="K24" s="7">
        <v>-1</v>
      </c>
      <c r="L24" s="7">
        <v>-1</v>
      </c>
      <c r="M24" s="7">
        <v>-1</v>
      </c>
    </row>
    <row r="25" spans="1:13">
      <c r="A25" s="7" t="s">
        <v>524</v>
      </c>
      <c r="B25" s="7" t="str">
        <f t="shared" si="1"/>
        <v>M2</v>
      </c>
      <c r="C25" s="7">
        <v>30</v>
      </c>
      <c r="D25" s="7">
        <v>-1</v>
      </c>
      <c r="E25" s="7">
        <v>-1</v>
      </c>
      <c r="F25" s="7">
        <v>250</v>
      </c>
      <c r="G25" s="7"/>
      <c r="H25" s="7">
        <v>0</v>
      </c>
      <c r="I25" s="7">
        <v>2</v>
      </c>
      <c r="J25" s="7"/>
      <c r="K25" s="7">
        <v>-1</v>
      </c>
      <c r="L25" s="7">
        <v>-1</v>
      </c>
      <c r="M25" s="7">
        <v>-1</v>
      </c>
    </row>
    <row r="26" spans="1:13">
      <c r="A26" s="7" t="s">
        <v>525</v>
      </c>
      <c r="B26" s="7" t="str">
        <f t="shared" si="1"/>
        <v>M2</v>
      </c>
      <c r="C26" s="7">
        <v>40</v>
      </c>
      <c r="D26" s="7">
        <v>-1</v>
      </c>
      <c r="E26" s="7">
        <v>-1</v>
      </c>
      <c r="F26" s="7">
        <v>250</v>
      </c>
      <c r="G26" s="7"/>
      <c r="H26" s="7">
        <v>0</v>
      </c>
      <c r="I26" s="7">
        <v>2</v>
      </c>
      <c r="J26" s="7"/>
      <c r="K26" s="7">
        <v>-1</v>
      </c>
      <c r="L26" s="7">
        <v>-1</v>
      </c>
      <c r="M26" s="7">
        <v>-1</v>
      </c>
    </row>
    <row r="27" spans="1:13">
      <c r="A27" s="5" t="s">
        <v>526</v>
      </c>
      <c r="B27" s="4" t="s">
        <v>10</v>
      </c>
      <c r="C27" s="5">
        <v>5</v>
      </c>
      <c r="D27" s="5">
        <v>0</v>
      </c>
      <c r="E27" s="5">
        <v>0</v>
      </c>
      <c r="F27" s="4">
        <v>150</v>
      </c>
      <c r="G27" s="5"/>
      <c r="H27" s="5">
        <v>1</v>
      </c>
      <c r="I27" s="5">
        <v>3</v>
      </c>
      <c r="J27" s="5"/>
      <c r="K27" s="5">
        <v>428</v>
      </c>
      <c r="L27" s="5"/>
      <c r="M27" s="5">
        <v>9999</v>
      </c>
    </row>
    <row r="28" spans="1:13">
      <c r="A28" s="5" t="s">
        <v>527</v>
      </c>
      <c r="B28" s="4" t="str">
        <f>B27</f>
        <v>AP1</v>
      </c>
      <c r="C28" s="5">
        <v>20</v>
      </c>
      <c r="D28" s="5">
        <v>1</v>
      </c>
      <c r="E28" s="5">
        <v>1</v>
      </c>
      <c r="F28" s="4">
        <v>150</v>
      </c>
      <c r="G28" s="5"/>
      <c r="H28" s="5">
        <v>1</v>
      </c>
      <c r="I28" s="5">
        <v>3</v>
      </c>
      <c r="J28" s="5"/>
      <c r="K28" s="5">
        <v>109</v>
      </c>
      <c r="L28" s="5"/>
      <c r="M28" s="5">
        <v>95</v>
      </c>
    </row>
    <row r="29" spans="1:13">
      <c r="A29" s="5" t="s">
        <v>528</v>
      </c>
      <c r="B29" s="4" t="str">
        <f t="shared" ref="B29:B38" si="2">B28</f>
        <v>AP1</v>
      </c>
      <c r="C29" s="5">
        <v>40</v>
      </c>
      <c r="D29" s="5">
        <v>1</v>
      </c>
      <c r="E29" s="5">
        <v>1</v>
      </c>
      <c r="F29" s="4">
        <v>150</v>
      </c>
      <c r="G29" s="5"/>
      <c r="H29" s="5">
        <v>1</v>
      </c>
      <c r="I29" s="5">
        <v>3</v>
      </c>
      <c r="J29" s="5"/>
      <c r="K29" s="5">
        <v>77</v>
      </c>
      <c r="L29" s="5"/>
      <c r="M29" s="5">
        <v>52</v>
      </c>
    </row>
    <row r="30" spans="1:13">
      <c r="A30" s="5" t="s">
        <v>529</v>
      </c>
      <c r="B30" s="4" t="str">
        <f t="shared" si="2"/>
        <v>AP1</v>
      </c>
      <c r="C30" s="5">
        <v>10</v>
      </c>
      <c r="D30" s="5">
        <v>0</v>
      </c>
      <c r="E30" s="5">
        <v>1</v>
      </c>
      <c r="F30" s="4">
        <v>150</v>
      </c>
      <c r="G30" s="5"/>
      <c r="H30" s="5">
        <v>1</v>
      </c>
      <c r="I30" s="5">
        <v>3</v>
      </c>
      <c r="J30" s="5"/>
      <c r="K30" s="5">
        <v>237</v>
      </c>
      <c r="L30" s="5"/>
      <c r="M30" s="5">
        <v>206</v>
      </c>
    </row>
    <row r="31" spans="1:13">
      <c r="A31" s="5" t="s">
        <v>530</v>
      </c>
      <c r="B31" s="4" t="str">
        <f t="shared" si="2"/>
        <v>AP1</v>
      </c>
      <c r="C31" s="5">
        <v>30</v>
      </c>
      <c r="D31" s="5">
        <v>1</v>
      </c>
      <c r="E31" s="5">
        <v>1</v>
      </c>
      <c r="F31" s="4">
        <v>150</v>
      </c>
      <c r="G31" s="11"/>
      <c r="H31" s="5">
        <v>1</v>
      </c>
      <c r="I31" s="5">
        <v>3</v>
      </c>
      <c r="J31" s="5"/>
      <c r="K31" s="5">
        <v>77</v>
      </c>
      <c r="L31" s="5"/>
      <c r="M31" s="5">
        <v>45</v>
      </c>
    </row>
    <row r="32" spans="1:13">
      <c r="A32" s="5" t="s">
        <v>531</v>
      </c>
      <c r="B32" s="4" t="s">
        <v>10</v>
      </c>
      <c r="C32" s="5">
        <v>5</v>
      </c>
      <c r="D32" s="5">
        <v>0</v>
      </c>
      <c r="E32" s="5">
        <v>1</v>
      </c>
      <c r="F32" s="4">
        <v>150</v>
      </c>
      <c r="G32" s="11"/>
      <c r="H32" s="5">
        <v>2</v>
      </c>
      <c r="I32" s="5">
        <v>3</v>
      </c>
      <c r="J32" s="5"/>
      <c r="K32" s="5">
        <v>428</v>
      </c>
      <c r="L32" s="5"/>
      <c r="M32" s="5">
        <v>404</v>
      </c>
    </row>
    <row r="33" spans="1:13">
      <c r="A33" s="5" t="s">
        <v>532</v>
      </c>
      <c r="B33" s="4" t="str">
        <f>B31</f>
        <v>AP1</v>
      </c>
      <c r="C33" s="5">
        <v>5</v>
      </c>
      <c r="D33" s="5">
        <v>-1</v>
      </c>
      <c r="E33" s="5">
        <v>-1</v>
      </c>
      <c r="F33" s="4">
        <v>150</v>
      </c>
      <c r="G33" s="5"/>
      <c r="H33" s="5">
        <v>0</v>
      </c>
      <c r="I33" s="5">
        <v>3</v>
      </c>
      <c r="J33" s="5"/>
      <c r="K33" s="5">
        <v>-1</v>
      </c>
      <c r="L33" s="5">
        <v>-1</v>
      </c>
      <c r="M33" s="5">
        <v>-1</v>
      </c>
    </row>
    <row r="34" spans="1:13">
      <c r="A34" s="5" t="s">
        <v>533</v>
      </c>
      <c r="B34" s="4" t="str">
        <f t="shared" si="2"/>
        <v>AP1</v>
      </c>
      <c r="C34" s="5">
        <v>10</v>
      </c>
      <c r="D34" s="5">
        <v>-1</v>
      </c>
      <c r="E34" s="5">
        <v>-1</v>
      </c>
      <c r="F34" s="4">
        <v>150</v>
      </c>
      <c r="G34" s="5"/>
      <c r="H34" s="5">
        <v>0</v>
      </c>
      <c r="I34" s="5">
        <v>3</v>
      </c>
      <c r="J34" s="5"/>
      <c r="K34" s="5">
        <v>-1</v>
      </c>
      <c r="L34" s="5">
        <v>-1</v>
      </c>
      <c r="M34" s="5">
        <v>-1</v>
      </c>
    </row>
    <row r="35" spans="1:13">
      <c r="A35" s="5" t="s">
        <v>534</v>
      </c>
      <c r="B35" s="4" t="str">
        <f t="shared" si="2"/>
        <v>AP1</v>
      </c>
      <c r="C35" s="5">
        <v>20</v>
      </c>
      <c r="D35" s="5">
        <v>-1</v>
      </c>
      <c r="E35" s="5">
        <v>-1</v>
      </c>
      <c r="F35" s="4">
        <v>150</v>
      </c>
      <c r="G35" s="5"/>
      <c r="H35" s="5">
        <v>0</v>
      </c>
      <c r="I35" s="5">
        <v>3</v>
      </c>
      <c r="J35" s="5"/>
      <c r="K35" s="5">
        <v>-1</v>
      </c>
      <c r="L35" s="5">
        <v>-1</v>
      </c>
      <c r="M35" s="5">
        <v>-1</v>
      </c>
    </row>
    <row r="36" spans="1:13">
      <c r="A36" s="5" t="s">
        <v>535</v>
      </c>
      <c r="B36" s="4" t="str">
        <f t="shared" si="2"/>
        <v>AP1</v>
      </c>
      <c r="C36" s="5">
        <v>30</v>
      </c>
      <c r="D36" s="5">
        <v>-1</v>
      </c>
      <c r="E36" s="5">
        <v>-1</v>
      </c>
      <c r="F36" s="4">
        <v>150</v>
      </c>
      <c r="G36" s="5"/>
      <c r="H36" s="5">
        <v>0</v>
      </c>
      <c r="I36" s="5">
        <v>3</v>
      </c>
      <c r="J36" s="5"/>
      <c r="K36" s="5">
        <v>-1</v>
      </c>
      <c r="L36" s="5">
        <v>-1</v>
      </c>
      <c r="M36" s="5">
        <v>-1</v>
      </c>
    </row>
    <row r="37" spans="1:13">
      <c r="A37" s="5" t="s">
        <v>536</v>
      </c>
      <c r="B37" s="4" t="str">
        <f t="shared" si="2"/>
        <v>AP1</v>
      </c>
      <c r="C37" s="5">
        <v>40</v>
      </c>
      <c r="D37" s="5">
        <v>-1</v>
      </c>
      <c r="E37" s="5">
        <v>-1</v>
      </c>
      <c r="F37" s="4">
        <v>150</v>
      </c>
      <c r="G37" s="5"/>
      <c r="H37" s="5">
        <v>0</v>
      </c>
      <c r="I37" s="5">
        <v>3</v>
      </c>
      <c r="J37" s="5"/>
      <c r="K37" s="5">
        <v>-1</v>
      </c>
      <c r="L37" s="5">
        <v>-1</v>
      </c>
      <c r="M37" s="5">
        <v>-1</v>
      </c>
    </row>
    <row r="38" spans="1:13">
      <c r="A38" s="5" t="s">
        <v>537</v>
      </c>
      <c r="B38" s="4" t="str">
        <f t="shared" si="2"/>
        <v>AP1</v>
      </c>
      <c r="C38" s="5">
        <v>100</v>
      </c>
      <c r="D38" s="5">
        <v>-1</v>
      </c>
      <c r="E38" s="5">
        <v>-1</v>
      </c>
      <c r="F38" s="4">
        <v>150</v>
      </c>
      <c r="G38" s="5"/>
      <c r="H38" s="5">
        <v>0</v>
      </c>
      <c r="I38" s="5">
        <v>3</v>
      </c>
      <c r="J38" s="5"/>
      <c r="K38" s="5">
        <v>-1</v>
      </c>
      <c r="L38" s="5">
        <v>-1</v>
      </c>
      <c r="M38" s="5">
        <v>-1</v>
      </c>
    </row>
    <row r="39" spans="1:13">
      <c r="A39" s="7" t="s">
        <v>538</v>
      </c>
      <c r="B39" s="7" t="s">
        <v>25</v>
      </c>
      <c r="C39" s="7">
        <v>20</v>
      </c>
      <c r="D39" s="7">
        <v>0</v>
      </c>
      <c r="E39" s="7">
        <v>1</v>
      </c>
      <c r="F39" s="7">
        <v>75</v>
      </c>
      <c r="G39" s="7"/>
      <c r="H39" s="7">
        <v>1</v>
      </c>
      <c r="I39" s="7">
        <v>4</v>
      </c>
      <c r="J39" s="7"/>
      <c r="K39" s="7">
        <v>109</v>
      </c>
      <c r="L39" s="7"/>
      <c r="M39" s="7">
        <v>106</v>
      </c>
    </row>
    <row r="40" spans="1:13">
      <c r="A40" s="7" t="s">
        <v>539</v>
      </c>
      <c r="B40" s="7" t="str">
        <f>B39</f>
        <v>AP2</v>
      </c>
      <c r="C40" s="7">
        <v>5</v>
      </c>
      <c r="D40" s="7">
        <v>0</v>
      </c>
      <c r="E40" s="7">
        <v>0</v>
      </c>
      <c r="F40" s="7">
        <v>75</v>
      </c>
      <c r="G40" s="7"/>
      <c r="H40" s="7">
        <v>1</v>
      </c>
      <c r="I40" s="7">
        <v>4</v>
      </c>
      <c r="J40" s="7"/>
      <c r="K40" s="7">
        <v>428</v>
      </c>
      <c r="L40" s="7"/>
      <c r="M40" s="7">
        <v>9999</v>
      </c>
    </row>
    <row r="41" spans="1:13">
      <c r="A41" s="7" t="s">
        <v>540</v>
      </c>
      <c r="B41" s="7" t="str">
        <f t="shared" ref="B41:B44" si="3">B40</f>
        <v>AP2</v>
      </c>
      <c r="C41" s="7">
        <v>10</v>
      </c>
      <c r="D41" s="7">
        <v>0</v>
      </c>
      <c r="E41" s="7">
        <v>0</v>
      </c>
      <c r="F41" s="7">
        <v>75</v>
      </c>
      <c r="G41" s="7"/>
      <c r="H41" s="7">
        <v>1</v>
      </c>
      <c r="I41" s="7">
        <v>4</v>
      </c>
      <c r="J41" s="7"/>
      <c r="K41" s="7">
        <v>237</v>
      </c>
      <c r="L41" s="7"/>
      <c r="M41" s="7">
        <v>9999</v>
      </c>
    </row>
    <row r="42" spans="1:13">
      <c r="A42" s="7" t="s">
        <v>541</v>
      </c>
      <c r="B42" s="7" t="str">
        <f t="shared" si="3"/>
        <v>AP2</v>
      </c>
      <c r="C42" s="7">
        <v>40</v>
      </c>
      <c r="D42" s="7">
        <v>1</v>
      </c>
      <c r="E42" s="7">
        <v>1</v>
      </c>
      <c r="F42" s="7">
        <v>75</v>
      </c>
      <c r="G42" s="7"/>
      <c r="H42" s="7">
        <v>1</v>
      </c>
      <c r="I42" s="7">
        <v>4</v>
      </c>
      <c r="J42" s="7"/>
      <c r="K42" s="7">
        <v>77</v>
      </c>
      <c r="L42" s="7"/>
      <c r="M42" s="7">
        <v>50</v>
      </c>
    </row>
    <row r="43" spans="1:13">
      <c r="A43" s="7" t="s">
        <v>542</v>
      </c>
      <c r="B43" s="7" t="str">
        <f t="shared" si="3"/>
        <v>AP2</v>
      </c>
      <c r="C43" s="7">
        <v>30</v>
      </c>
      <c r="D43" s="7">
        <v>1</v>
      </c>
      <c r="E43" s="7">
        <v>1</v>
      </c>
      <c r="F43" s="7">
        <v>75</v>
      </c>
      <c r="G43" s="7"/>
      <c r="H43" s="7">
        <v>1</v>
      </c>
      <c r="I43" s="7">
        <v>4</v>
      </c>
      <c r="J43" s="7"/>
      <c r="K43" s="7">
        <v>77</v>
      </c>
      <c r="L43" s="7"/>
      <c r="M43" s="7">
        <v>65</v>
      </c>
    </row>
    <row r="44" spans="1:13">
      <c r="A44" s="7"/>
      <c r="B44" s="7" t="str">
        <f t="shared" si="3"/>
        <v>AP2</v>
      </c>
      <c r="C44" s="7">
        <v>20</v>
      </c>
      <c r="D44" s="7">
        <v>1</v>
      </c>
      <c r="E44" s="7">
        <v>1</v>
      </c>
      <c r="F44" s="7">
        <v>75</v>
      </c>
      <c r="G44" s="7"/>
      <c r="H44" s="7">
        <v>2</v>
      </c>
      <c r="I44" s="7">
        <v>4</v>
      </c>
      <c r="J44" s="7"/>
      <c r="K44" s="7">
        <v>109</v>
      </c>
      <c r="L44" s="7"/>
      <c r="M44" s="7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5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543</v>
      </c>
      <c r="B2" s="10" t="s">
        <v>68</v>
      </c>
      <c r="C2" s="10">
        <v>40</v>
      </c>
      <c r="D2" s="5">
        <v>0</v>
      </c>
      <c r="E2" s="5"/>
      <c r="F2" s="5">
        <v>150</v>
      </c>
      <c r="G2" s="9"/>
      <c r="H2" s="5">
        <v>1</v>
      </c>
      <c r="I2" s="5">
        <v>1</v>
      </c>
      <c r="J2" s="5">
        <f>MAX(I:I)</f>
        <v>6</v>
      </c>
      <c r="K2" s="5">
        <v>77</v>
      </c>
      <c r="L2" s="5">
        <v>55</v>
      </c>
      <c r="M2" s="5">
        <v>57</v>
      </c>
    </row>
    <row r="3" spans="1:13">
      <c r="A3" s="9" t="s">
        <v>544</v>
      </c>
      <c r="B3" s="10" t="str">
        <f>B2</f>
        <v>M1</v>
      </c>
      <c r="C3" s="10">
        <v>5</v>
      </c>
      <c r="D3" s="10">
        <v>0</v>
      </c>
      <c r="E3" s="10"/>
      <c r="F3" s="5">
        <v>150</v>
      </c>
      <c r="G3" s="5"/>
      <c r="H3" s="5">
        <v>1</v>
      </c>
      <c r="I3" s="5">
        <v>1</v>
      </c>
      <c r="J3" s="5"/>
      <c r="K3" s="5">
        <v>428</v>
      </c>
      <c r="L3" s="5">
        <v>399</v>
      </c>
      <c r="M3" s="5">
        <v>406</v>
      </c>
    </row>
    <row r="4" spans="1:13">
      <c r="A4" s="9" t="s">
        <v>545</v>
      </c>
      <c r="B4" s="10" t="str">
        <f t="shared" ref="B4:B7" si="0">B3</f>
        <v>M1</v>
      </c>
      <c r="C4" s="10">
        <v>10</v>
      </c>
      <c r="D4" s="10">
        <v>0</v>
      </c>
      <c r="E4" s="10"/>
      <c r="F4" s="5">
        <v>150</v>
      </c>
      <c r="G4" s="5"/>
      <c r="H4" s="5">
        <v>1</v>
      </c>
      <c r="I4" s="5">
        <v>1</v>
      </c>
      <c r="J4" s="5"/>
      <c r="K4" s="5">
        <v>237</v>
      </c>
      <c r="L4" s="5">
        <v>201</v>
      </c>
      <c r="M4" s="5">
        <v>200</v>
      </c>
    </row>
    <row r="5" spans="1:13">
      <c r="A5" s="5" t="s">
        <v>546</v>
      </c>
      <c r="B5" s="10" t="str">
        <f t="shared" si="0"/>
        <v>M1</v>
      </c>
      <c r="C5" s="5">
        <v>20</v>
      </c>
      <c r="D5" s="5">
        <v>1</v>
      </c>
      <c r="E5" s="5">
        <v>2</v>
      </c>
      <c r="F5" s="5">
        <v>150</v>
      </c>
      <c r="G5" s="5"/>
      <c r="H5" s="5">
        <v>1</v>
      </c>
      <c r="I5" s="5">
        <v>1</v>
      </c>
      <c r="J5" s="5"/>
      <c r="K5" s="5">
        <v>109</v>
      </c>
      <c r="L5" s="5">
        <v>102</v>
      </c>
      <c r="M5" s="5">
        <v>100</v>
      </c>
    </row>
    <row r="6" spans="1:13">
      <c r="A6" s="5" t="s">
        <v>547</v>
      </c>
      <c r="B6" s="10" t="str">
        <f t="shared" si="0"/>
        <v>M1</v>
      </c>
      <c r="C6" s="5">
        <v>30</v>
      </c>
      <c r="D6" s="5">
        <v>1</v>
      </c>
      <c r="E6" s="5"/>
      <c r="F6" s="5">
        <v>150</v>
      </c>
      <c r="G6" s="5"/>
      <c r="H6" s="5">
        <v>1</v>
      </c>
      <c r="I6" s="5">
        <v>1</v>
      </c>
      <c r="J6" s="5"/>
      <c r="K6" s="5">
        <v>77</v>
      </c>
      <c r="L6" s="5">
        <v>70</v>
      </c>
      <c r="M6" s="5">
        <v>68</v>
      </c>
    </row>
    <row r="7" spans="1:13">
      <c r="A7" s="5" t="s">
        <v>548</v>
      </c>
      <c r="B7" s="10" t="str">
        <f t="shared" si="0"/>
        <v>M1</v>
      </c>
      <c r="C7" s="5">
        <v>40</v>
      </c>
      <c r="D7" s="5">
        <v>0</v>
      </c>
      <c r="E7" s="5">
        <v>1</v>
      </c>
      <c r="F7" s="5">
        <v>150</v>
      </c>
      <c r="G7" s="5"/>
      <c r="H7" s="5">
        <v>2</v>
      </c>
      <c r="I7" s="5">
        <v>1</v>
      </c>
      <c r="J7" s="5"/>
      <c r="K7" s="5">
        <v>77</v>
      </c>
      <c r="L7" s="5">
        <v>55</v>
      </c>
      <c r="M7" s="5">
        <v>51</v>
      </c>
    </row>
    <row r="8" spans="1:13">
      <c r="A8" s="8" t="s">
        <v>549</v>
      </c>
      <c r="B8" s="7" t="s">
        <v>241</v>
      </c>
      <c r="C8" s="8">
        <v>10</v>
      </c>
      <c r="D8" s="7">
        <v>0</v>
      </c>
      <c r="E8" s="7"/>
      <c r="F8" s="7">
        <v>150</v>
      </c>
      <c r="G8" s="8"/>
      <c r="H8" s="7">
        <v>1</v>
      </c>
      <c r="I8" s="7">
        <v>2</v>
      </c>
      <c r="J8" s="7"/>
      <c r="K8" s="7">
        <v>237</v>
      </c>
      <c r="L8" s="7">
        <v>201</v>
      </c>
      <c r="M8" s="7">
        <v>207</v>
      </c>
    </row>
    <row r="9" spans="1:13">
      <c r="A9" s="8" t="s">
        <v>550</v>
      </c>
      <c r="B9" s="7" t="str">
        <f>B8</f>
        <v>M2</v>
      </c>
      <c r="C9" s="8">
        <v>5</v>
      </c>
      <c r="D9" s="7">
        <v>0</v>
      </c>
      <c r="E9" s="7"/>
      <c r="F9" s="7">
        <f>F8</f>
        <v>150</v>
      </c>
      <c r="G9" s="8"/>
      <c r="H9" s="7">
        <v>1</v>
      </c>
      <c r="I9" s="7">
        <v>2</v>
      </c>
      <c r="J9" s="7"/>
      <c r="K9" s="7">
        <v>428</v>
      </c>
      <c r="L9" s="7">
        <v>400</v>
      </c>
      <c r="M9" s="7">
        <v>395</v>
      </c>
    </row>
    <row r="10" spans="1:13">
      <c r="A10" s="8" t="s">
        <v>551</v>
      </c>
      <c r="B10" s="7" t="str">
        <f t="shared" ref="B10:B12" si="1">B9</f>
        <v>M2</v>
      </c>
      <c r="C10" s="8">
        <v>20</v>
      </c>
      <c r="D10" s="7">
        <v>0</v>
      </c>
      <c r="E10" s="7"/>
      <c r="F10" s="7">
        <f t="shared" ref="F10:F12" si="2">F9</f>
        <v>150</v>
      </c>
      <c r="G10" s="7"/>
      <c r="H10" s="7">
        <v>1</v>
      </c>
      <c r="I10" s="7">
        <v>2</v>
      </c>
      <c r="J10" s="7"/>
      <c r="K10" s="7">
        <v>109</v>
      </c>
      <c r="L10" s="7">
        <v>102</v>
      </c>
      <c r="M10" s="7">
        <v>107</v>
      </c>
    </row>
    <row r="11" spans="1:13">
      <c r="A11" s="8" t="s">
        <v>552</v>
      </c>
      <c r="B11" s="7" t="str">
        <f t="shared" si="1"/>
        <v>M2</v>
      </c>
      <c r="C11" s="8">
        <v>40</v>
      </c>
      <c r="D11" s="7">
        <v>0</v>
      </c>
      <c r="E11" s="7"/>
      <c r="F11" s="7">
        <f t="shared" si="2"/>
        <v>150</v>
      </c>
      <c r="G11" s="8"/>
      <c r="H11" s="7">
        <v>1</v>
      </c>
      <c r="I11" s="7">
        <v>2</v>
      </c>
      <c r="J11" s="7"/>
      <c r="K11" s="7">
        <v>77</v>
      </c>
      <c r="L11" s="7">
        <v>55</v>
      </c>
      <c r="M11" s="7">
        <v>50</v>
      </c>
    </row>
    <row r="12" spans="1:13">
      <c r="A12" s="8" t="s">
        <v>553</v>
      </c>
      <c r="B12" s="7" t="str">
        <f t="shared" si="1"/>
        <v>M2</v>
      </c>
      <c r="C12" s="8">
        <v>30</v>
      </c>
      <c r="D12" s="7">
        <v>0</v>
      </c>
      <c r="E12" s="7"/>
      <c r="F12" s="7">
        <f t="shared" si="2"/>
        <v>150</v>
      </c>
      <c r="G12" s="8"/>
      <c r="H12" s="7">
        <v>1</v>
      </c>
      <c r="I12" s="7">
        <v>2</v>
      </c>
      <c r="J12" s="7"/>
      <c r="K12" s="7">
        <v>77</v>
      </c>
      <c r="L12" s="7">
        <v>72</v>
      </c>
      <c r="M12" s="7">
        <v>75</v>
      </c>
    </row>
    <row r="13" spans="1:13">
      <c r="A13" s="8" t="s">
        <v>554</v>
      </c>
      <c r="B13" s="7" t="str">
        <f>B12</f>
        <v>M2</v>
      </c>
      <c r="C13" s="8">
        <v>10</v>
      </c>
      <c r="D13" s="7">
        <v>0</v>
      </c>
      <c r="E13" s="7"/>
      <c r="F13" s="7">
        <f>F12</f>
        <v>150</v>
      </c>
      <c r="G13" s="8"/>
      <c r="H13" s="7">
        <v>2</v>
      </c>
      <c r="I13" s="7">
        <v>2</v>
      </c>
      <c r="J13" s="7"/>
      <c r="K13" s="7">
        <v>237</v>
      </c>
      <c r="L13" s="7">
        <v>201</v>
      </c>
      <c r="M13" s="7">
        <v>200</v>
      </c>
    </row>
    <row r="14" spans="1:13">
      <c r="A14" s="7" t="s">
        <v>555</v>
      </c>
      <c r="B14" s="7" t="s">
        <v>241</v>
      </c>
      <c r="C14" s="7">
        <v>100</v>
      </c>
      <c r="D14" s="7">
        <v>1</v>
      </c>
      <c r="E14" s="7"/>
      <c r="F14" s="7">
        <v>150</v>
      </c>
      <c r="G14" s="7"/>
      <c r="H14" s="7">
        <v>0</v>
      </c>
      <c r="I14" s="7">
        <v>2</v>
      </c>
      <c r="J14" s="7"/>
      <c r="K14" s="7">
        <v>45</v>
      </c>
      <c r="L14" s="7"/>
      <c r="M14" s="7">
        <v>23</v>
      </c>
    </row>
    <row r="15" spans="1:13">
      <c r="A15" s="5" t="s">
        <v>556</v>
      </c>
      <c r="B15" s="4" t="s">
        <v>10</v>
      </c>
      <c r="C15" s="5">
        <v>5</v>
      </c>
      <c r="D15" s="5">
        <v>1</v>
      </c>
      <c r="E15" s="5"/>
      <c r="F15" s="4">
        <v>250</v>
      </c>
      <c r="G15" s="5"/>
      <c r="H15" s="5">
        <v>1</v>
      </c>
      <c r="I15" s="5">
        <v>3</v>
      </c>
      <c r="J15" s="5"/>
      <c r="K15" s="5">
        <v>428</v>
      </c>
      <c r="L15" s="5">
        <v>400</v>
      </c>
      <c r="M15" s="5">
        <v>372</v>
      </c>
    </row>
    <row r="16" spans="1:13">
      <c r="A16" s="5" t="s">
        <v>557</v>
      </c>
      <c r="B16" s="4" t="str">
        <f>B15</f>
        <v>AP1</v>
      </c>
      <c r="C16" s="5">
        <v>10</v>
      </c>
      <c r="D16" s="5">
        <v>1</v>
      </c>
      <c r="E16" s="5">
        <v>2</v>
      </c>
      <c r="F16" s="4">
        <f>F15</f>
        <v>250</v>
      </c>
      <c r="G16" s="5"/>
      <c r="H16" s="5">
        <v>1</v>
      </c>
      <c r="I16" s="5">
        <v>3</v>
      </c>
      <c r="J16" s="5"/>
      <c r="K16" s="5">
        <v>237</v>
      </c>
      <c r="L16" s="5">
        <v>201</v>
      </c>
      <c r="M16" s="5">
        <v>188</v>
      </c>
    </row>
    <row r="17" spans="1:13">
      <c r="A17" s="5" t="s">
        <v>558</v>
      </c>
      <c r="B17" s="4" t="str">
        <f t="shared" ref="B17:B19" si="3">B16</f>
        <v>AP1</v>
      </c>
      <c r="C17" s="5">
        <v>40</v>
      </c>
      <c r="D17" s="5">
        <v>1</v>
      </c>
      <c r="E17" s="5"/>
      <c r="F17" s="4">
        <f t="shared" ref="F17:F19" si="4">F16</f>
        <v>250</v>
      </c>
      <c r="G17" s="5"/>
      <c r="H17" s="5">
        <v>1</v>
      </c>
      <c r="I17" s="5">
        <v>3</v>
      </c>
      <c r="J17" s="5"/>
      <c r="K17" s="5">
        <v>77</v>
      </c>
      <c r="L17" s="5">
        <v>56</v>
      </c>
      <c r="M17" s="5">
        <v>47</v>
      </c>
    </row>
    <row r="18" spans="1:13">
      <c r="A18" s="5" t="s">
        <v>559</v>
      </c>
      <c r="B18" s="4" t="str">
        <f t="shared" si="3"/>
        <v>AP1</v>
      </c>
      <c r="C18" s="5">
        <v>20</v>
      </c>
      <c r="D18" s="5">
        <v>1</v>
      </c>
      <c r="E18" s="5"/>
      <c r="F18" s="4">
        <f t="shared" si="4"/>
        <v>250</v>
      </c>
      <c r="G18" s="5"/>
      <c r="H18" s="5">
        <v>1</v>
      </c>
      <c r="I18" s="5">
        <v>3</v>
      </c>
      <c r="J18" s="5"/>
      <c r="K18" s="5">
        <v>109</v>
      </c>
      <c r="L18" s="5">
        <v>102</v>
      </c>
      <c r="M18" s="5">
        <v>94</v>
      </c>
    </row>
    <row r="19" spans="1:13">
      <c r="A19" s="5" t="s">
        <v>560</v>
      </c>
      <c r="B19" s="4" t="str">
        <f t="shared" si="3"/>
        <v>AP1</v>
      </c>
      <c r="C19" s="5">
        <v>30</v>
      </c>
      <c r="D19" s="5">
        <v>1</v>
      </c>
      <c r="E19" s="5"/>
      <c r="F19" s="4">
        <f t="shared" si="4"/>
        <v>250</v>
      </c>
      <c r="G19" s="11"/>
      <c r="H19" s="5">
        <v>1</v>
      </c>
      <c r="I19" s="5">
        <v>3</v>
      </c>
      <c r="J19" s="5"/>
      <c r="K19" s="5">
        <v>77</v>
      </c>
      <c r="L19" s="5">
        <v>66</v>
      </c>
      <c r="M19" s="5">
        <v>55</v>
      </c>
    </row>
    <row r="20" spans="1:13">
      <c r="A20" s="5" t="s">
        <v>561</v>
      </c>
      <c r="B20" s="4" t="str">
        <f>B19</f>
        <v>AP1</v>
      </c>
      <c r="C20" s="5">
        <v>5</v>
      </c>
      <c r="D20" s="5">
        <v>1</v>
      </c>
      <c r="E20" s="5"/>
      <c r="F20" s="4">
        <f>F19</f>
        <v>250</v>
      </c>
      <c r="G20" s="11"/>
      <c r="H20" s="5">
        <v>2</v>
      </c>
      <c r="I20" s="5">
        <v>3</v>
      </c>
      <c r="J20" s="5"/>
      <c r="K20" s="5">
        <v>428</v>
      </c>
      <c r="L20" s="5">
        <v>399</v>
      </c>
      <c r="M20" s="5">
        <v>371</v>
      </c>
    </row>
    <row r="21" spans="1:13">
      <c r="A21" s="5" t="s">
        <v>562</v>
      </c>
      <c r="B21" s="4" t="str">
        <f>B20</f>
        <v>AP1</v>
      </c>
      <c r="C21" s="5">
        <v>100</v>
      </c>
      <c r="D21" s="5">
        <v>1</v>
      </c>
      <c r="E21" s="5"/>
      <c r="F21" s="5">
        <v>250</v>
      </c>
      <c r="G21" s="5"/>
      <c r="H21" s="5">
        <v>0</v>
      </c>
      <c r="I21" s="5">
        <v>3</v>
      </c>
      <c r="J21" s="5"/>
      <c r="K21" s="5">
        <v>44</v>
      </c>
      <c r="L21" s="5">
        <v>32</v>
      </c>
      <c r="M21" s="5">
        <v>21</v>
      </c>
    </row>
    <row r="22" spans="1:13">
      <c r="A22" s="7" t="s">
        <v>563</v>
      </c>
      <c r="B22" s="7" t="s">
        <v>25</v>
      </c>
      <c r="C22" s="7">
        <v>40</v>
      </c>
      <c r="D22" s="7">
        <v>1</v>
      </c>
      <c r="E22" s="7"/>
      <c r="F22" s="7">
        <v>250</v>
      </c>
      <c r="G22" s="7"/>
      <c r="H22" s="7">
        <v>1</v>
      </c>
      <c r="I22" s="7">
        <v>4</v>
      </c>
      <c r="J22" s="7"/>
      <c r="K22" s="7">
        <v>77</v>
      </c>
      <c r="L22" s="7">
        <v>57</v>
      </c>
      <c r="M22" s="7">
        <v>48</v>
      </c>
    </row>
    <row r="23" spans="1:13">
      <c r="A23" s="7" t="s">
        <v>564</v>
      </c>
      <c r="B23" s="7" t="str">
        <f>B22</f>
        <v>AP2</v>
      </c>
      <c r="C23" s="7">
        <v>20</v>
      </c>
      <c r="D23" s="7">
        <v>1</v>
      </c>
      <c r="E23" s="7"/>
      <c r="F23" s="7">
        <f>F22</f>
        <v>250</v>
      </c>
      <c r="G23" s="7"/>
      <c r="H23" s="7">
        <v>1</v>
      </c>
      <c r="I23" s="7">
        <v>4</v>
      </c>
      <c r="J23" s="7"/>
      <c r="K23" s="7">
        <v>109</v>
      </c>
      <c r="L23" s="7">
        <v>102</v>
      </c>
      <c r="M23" s="7">
        <v>83</v>
      </c>
    </row>
    <row r="24" spans="1:13">
      <c r="A24" s="7" t="s">
        <v>565</v>
      </c>
      <c r="B24" s="7" t="str">
        <f t="shared" ref="B24:B26" si="5">B23</f>
        <v>AP2</v>
      </c>
      <c r="C24" s="7">
        <v>5</v>
      </c>
      <c r="D24" s="7">
        <v>0</v>
      </c>
      <c r="E24" s="7"/>
      <c r="F24" s="7">
        <f t="shared" ref="F24:F26" si="6">F23</f>
        <v>250</v>
      </c>
      <c r="G24" s="7"/>
      <c r="H24" s="7">
        <v>1</v>
      </c>
      <c r="I24" s="7">
        <v>4</v>
      </c>
      <c r="J24" s="7"/>
      <c r="K24" s="7">
        <v>428</v>
      </c>
      <c r="L24" s="7">
        <v>400</v>
      </c>
      <c r="M24" s="7">
        <v>407</v>
      </c>
    </row>
    <row r="25" spans="1:13">
      <c r="A25" s="7" t="s">
        <v>566</v>
      </c>
      <c r="B25" s="7" t="str">
        <f t="shared" si="5"/>
        <v>AP2</v>
      </c>
      <c r="C25" s="7">
        <v>10</v>
      </c>
      <c r="D25" s="7">
        <v>0</v>
      </c>
      <c r="E25" s="7"/>
      <c r="F25" s="7">
        <f t="shared" si="6"/>
        <v>250</v>
      </c>
      <c r="G25" s="7"/>
      <c r="H25" s="7">
        <v>1</v>
      </c>
      <c r="I25" s="7">
        <v>4</v>
      </c>
      <c r="J25" s="7"/>
      <c r="K25" s="7">
        <v>237</v>
      </c>
      <c r="L25" s="7">
        <v>201</v>
      </c>
      <c r="M25" s="7">
        <v>208</v>
      </c>
    </row>
    <row r="26" spans="1:13">
      <c r="A26" s="7" t="s">
        <v>567</v>
      </c>
      <c r="B26" s="7" t="str">
        <f t="shared" si="5"/>
        <v>AP2</v>
      </c>
      <c r="C26" s="7">
        <v>30</v>
      </c>
      <c r="D26" s="7">
        <v>1</v>
      </c>
      <c r="E26" s="7"/>
      <c r="F26" s="7">
        <f t="shared" si="6"/>
        <v>250</v>
      </c>
      <c r="G26" s="7"/>
      <c r="H26" s="7">
        <v>1</v>
      </c>
      <c r="I26" s="7">
        <v>4</v>
      </c>
      <c r="J26" s="7"/>
      <c r="K26" s="7">
        <v>77</v>
      </c>
      <c r="L26" s="7">
        <v>71</v>
      </c>
      <c r="M26" s="7">
        <v>46</v>
      </c>
    </row>
    <row r="27" spans="1:13">
      <c r="A27" s="7" t="s">
        <v>568</v>
      </c>
      <c r="B27" s="7" t="str">
        <f>B26</f>
        <v>AP2</v>
      </c>
      <c r="C27" s="7">
        <v>40</v>
      </c>
      <c r="D27" s="7">
        <v>1</v>
      </c>
      <c r="E27" s="7"/>
      <c r="F27" s="7">
        <f>F26</f>
        <v>250</v>
      </c>
      <c r="G27" s="7"/>
      <c r="H27" s="7">
        <v>2</v>
      </c>
      <c r="I27" s="7">
        <v>4</v>
      </c>
      <c r="J27" s="7"/>
      <c r="K27" s="7">
        <v>77</v>
      </c>
      <c r="L27" s="7">
        <v>57</v>
      </c>
      <c r="M27" s="7">
        <v>41</v>
      </c>
    </row>
    <row r="28" spans="1:13">
      <c r="A28" s="7" t="s">
        <v>569</v>
      </c>
      <c r="B28" s="7" t="str">
        <f>B27</f>
        <v>AP2</v>
      </c>
      <c r="C28" s="7">
        <v>100</v>
      </c>
      <c r="D28" s="7">
        <v>1</v>
      </c>
      <c r="E28" s="7"/>
      <c r="F28" s="7">
        <f>F27</f>
        <v>250</v>
      </c>
      <c r="G28" s="7"/>
      <c r="H28" s="7">
        <v>0</v>
      </c>
      <c r="I28" s="7">
        <v>4</v>
      </c>
      <c r="J28" s="7"/>
      <c r="K28" s="7">
        <v>44</v>
      </c>
      <c r="L28" s="7">
        <v>31</v>
      </c>
      <c r="M28" s="7">
        <v>25</v>
      </c>
    </row>
    <row r="29" spans="1:13">
      <c r="A29" s="5" t="s">
        <v>570</v>
      </c>
      <c r="B29" s="5" t="s">
        <v>93</v>
      </c>
      <c r="C29" s="5">
        <v>5</v>
      </c>
      <c r="D29" s="5">
        <v>0</v>
      </c>
      <c r="E29" s="5"/>
      <c r="F29" s="5">
        <v>250</v>
      </c>
      <c r="G29" s="5"/>
      <c r="H29" s="5">
        <v>1</v>
      </c>
      <c r="I29" s="5">
        <v>5</v>
      </c>
      <c r="J29" s="5"/>
      <c r="K29" s="5">
        <v>428</v>
      </c>
      <c r="L29" s="5">
        <v>400</v>
      </c>
      <c r="M29" s="5">
        <v>401</v>
      </c>
    </row>
    <row r="30" spans="1:13">
      <c r="A30" s="5" t="s">
        <v>571</v>
      </c>
      <c r="B30" s="5" t="str">
        <f>B29</f>
        <v>AP3</v>
      </c>
      <c r="C30" s="5">
        <v>10</v>
      </c>
      <c r="D30" s="5">
        <v>1</v>
      </c>
      <c r="E30" s="5"/>
      <c r="F30" s="5">
        <f>F29</f>
        <v>250</v>
      </c>
      <c r="G30" s="5"/>
      <c r="H30" s="5">
        <v>1</v>
      </c>
      <c r="I30" s="5">
        <v>5</v>
      </c>
      <c r="J30" s="5"/>
      <c r="K30" s="5">
        <v>237</v>
      </c>
      <c r="L30" s="5">
        <v>200</v>
      </c>
      <c r="M30" s="5">
        <v>190</v>
      </c>
    </row>
    <row r="31" spans="1:13">
      <c r="A31" s="5" t="s">
        <v>572</v>
      </c>
      <c r="B31" s="5" t="str">
        <f t="shared" ref="B31:B39" si="7">B30</f>
        <v>AP3</v>
      </c>
      <c r="C31" s="5">
        <v>20</v>
      </c>
      <c r="D31" s="5">
        <v>1</v>
      </c>
      <c r="E31" s="5"/>
      <c r="F31" s="5">
        <f t="shared" ref="F31:F39" si="8">F30</f>
        <v>250</v>
      </c>
      <c r="G31" s="5"/>
      <c r="H31" s="5">
        <v>1</v>
      </c>
      <c r="I31" s="5">
        <v>5</v>
      </c>
      <c r="J31" s="5"/>
      <c r="K31" s="5">
        <v>109</v>
      </c>
      <c r="L31" s="5">
        <v>101</v>
      </c>
      <c r="M31" s="5">
        <v>100</v>
      </c>
    </row>
    <row r="32" spans="1:13">
      <c r="A32" s="5" t="s">
        <v>573</v>
      </c>
      <c r="B32" s="5" t="str">
        <f t="shared" si="7"/>
        <v>AP3</v>
      </c>
      <c r="C32" s="5">
        <v>40</v>
      </c>
      <c r="D32" s="5">
        <v>0</v>
      </c>
      <c r="E32" s="5"/>
      <c r="F32" s="5">
        <f t="shared" si="8"/>
        <v>250</v>
      </c>
      <c r="G32" s="5"/>
      <c r="H32" s="5">
        <v>1</v>
      </c>
      <c r="I32" s="5">
        <v>5</v>
      </c>
      <c r="J32" s="5"/>
      <c r="K32" s="5">
        <v>76</v>
      </c>
      <c r="L32" s="5">
        <v>56</v>
      </c>
      <c r="M32" s="5">
        <v>61</v>
      </c>
    </row>
    <row r="33" spans="1:13">
      <c r="A33" s="5" t="s">
        <v>574</v>
      </c>
      <c r="B33" s="5" t="str">
        <f t="shared" si="7"/>
        <v>AP3</v>
      </c>
      <c r="C33" s="5">
        <v>30</v>
      </c>
      <c r="D33" s="5">
        <v>1</v>
      </c>
      <c r="E33" s="5"/>
      <c r="F33" s="5">
        <f t="shared" si="8"/>
        <v>250</v>
      </c>
      <c r="G33" s="5"/>
      <c r="H33" s="5">
        <v>1</v>
      </c>
      <c r="I33" s="5">
        <v>5</v>
      </c>
      <c r="J33" s="5"/>
      <c r="K33" s="5">
        <v>76</v>
      </c>
      <c r="L33" s="5">
        <v>68</v>
      </c>
      <c r="M33" s="5">
        <v>65</v>
      </c>
    </row>
    <row r="34" spans="1:13">
      <c r="A34" s="5" t="s">
        <v>575</v>
      </c>
      <c r="B34" s="5" t="str">
        <f t="shared" si="7"/>
        <v>AP3</v>
      </c>
      <c r="C34" s="5">
        <v>5</v>
      </c>
      <c r="D34" s="5">
        <v>1</v>
      </c>
      <c r="E34" s="5"/>
      <c r="F34" s="5">
        <f t="shared" si="8"/>
        <v>250</v>
      </c>
      <c r="G34" s="5"/>
      <c r="H34" s="5">
        <v>2</v>
      </c>
      <c r="I34" s="5">
        <v>5</v>
      </c>
      <c r="J34" s="5"/>
      <c r="K34" s="5">
        <v>428</v>
      </c>
      <c r="L34" s="5">
        <v>400</v>
      </c>
      <c r="M34" s="5">
        <v>338</v>
      </c>
    </row>
    <row r="35" spans="1:13">
      <c r="A35" s="5" t="s">
        <v>576</v>
      </c>
      <c r="B35" s="5" t="str">
        <f t="shared" si="7"/>
        <v>AP3</v>
      </c>
      <c r="C35" s="5">
        <v>2</v>
      </c>
      <c r="D35" s="5">
        <v>1</v>
      </c>
      <c r="E35" s="5"/>
      <c r="F35" s="5">
        <f t="shared" si="8"/>
        <v>250</v>
      </c>
      <c r="G35" s="5"/>
      <c r="H35" s="5">
        <v>0</v>
      </c>
      <c r="I35" s="5">
        <v>5</v>
      </c>
      <c r="J35" s="5"/>
      <c r="K35" s="5">
        <v>1036</v>
      </c>
      <c r="L35" s="5">
        <v>996</v>
      </c>
      <c r="M35" s="5">
        <v>948</v>
      </c>
    </row>
    <row r="36" spans="1:13">
      <c r="A36" s="5" t="s">
        <v>577</v>
      </c>
      <c r="B36" s="5" t="str">
        <f t="shared" si="7"/>
        <v>AP3</v>
      </c>
      <c r="C36" s="5">
        <v>20</v>
      </c>
      <c r="D36" s="5">
        <v>0</v>
      </c>
      <c r="E36" s="5"/>
      <c r="F36" s="5">
        <f t="shared" si="8"/>
        <v>250</v>
      </c>
      <c r="G36" s="5"/>
      <c r="H36" s="5">
        <v>0</v>
      </c>
      <c r="I36" s="5">
        <v>5</v>
      </c>
      <c r="J36" s="5"/>
      <c r="K36" s="5">
        <v>-1</v>
      </c>
      <c r="L36" s="5">
        <v>-1</v>
      </c>
      <c r="M36" s="5">
        <v>-1</v>
      </c>
    </row>
    <row r="37" spans="1:13">
      <c r="A37" s="5" t="s">
        <v>578</v>
      </c>
      <c r="B37" s="5" t="str">
        <f t="shared" si="7"/>
        <v>AP3</v>
      </c>
      <c r="C37" s="5">
        <v>10</v>
      </c>
      <c r="D37" s="5">
        <v>0</v>
      </c>
      <c r="E37" s="5"/>
      <c r="F37" s="5">
        <f t="shared" si="8"/>
        <v>250</v>
      </c>
      <c r="G37" s="5"/>
      <c r="H37" s="5">
        <v>0</v>
      </c>
      <c r="I37" s="5">
        <v>5</v>
      </c>
      <c r="J37" s="5"/>
      <c r="K37" s="5">
        <v>-1</v>
      </c>
      <c r="L37" s="5">
        <v>-1</v>
      </c>
      <c r="M37" s="5">
        <v>-1</v>
      </c>
    </row>
    <row r="38" spans="1:13">
      <c r="A38" s="5" t="s">
        <v>579</v>
      </c>
      <c r="B38" s="5" t="str">
        <f t="shared" si="7"/>
        <v>AP3</v>
      </c>
      <c r="C38" s="5">
        <v>5</v>
      </c>
      <c r="D38" s="5">
        <v>0</v>
      </c>
      <c r="E38" s="5"/>
      <c r="F38" s="5">
        <f t="shared" si="8"/>
        <v>250</v>
      </c>
      <c r="G38" s="5"/>
      <c r="H38" s="5">
        <v>0</v>
      </c>
      <c r="I38" s="5">
        <v>5</v>
      </c>
      <c r="J38" s="5"/>
      <c r="K38" s="5">
        <v>-1</v>
      </c>
      <c r="L38" s="5">
        <v>-1</v>
      </c>
      <c r="M38" s="5">
        <v>-1</v>
      </c>
    </row>
    <row r="39" spans="1:13">
      <c r="A39" s="5" t="s">
        <v>580</v>
      </c>
      <c r="B39" s="5" t="str">
        <f t="shared" si="7"/>
        <v>AP3</v>
      </c>
      <c r="C39" s="5">
        <v>100</v>
      </c>
      <c r="D39" s="5">
        <v>0</v>
      </c>
      <c r="E39" s="5"/>
      <c r="F39" s="5">
        <f t="shared" si="8"/>
        <v>250</v>
      </c>
      <c r="G39" s="5"/>
      <c r="H39" s="5">
        <v>0</v>
      </c>
      <c r="I39" s="5">
        <v>5</v>
      </c>
      <c r="J39" s="5"/>
      <c r="K39" s="5">
        <v>-1</v>
      </c>
      <c r="L39" s="5">
        <v>-1</v>
      </c>
      <c r="M39" s="5">
        <v>-1</v>
      </c>
    </row>
    <row r="40" spans="1:13">
      <c r="A40" s="7" t="s">
        <v>581</v>
      </c>
      <c r="B40" s="7" t="s">
        <v>102</v>
      </c>
      <c r="C40" s="7">
        <v>5</v>
      </c>
      <c r="D40" s="7">
        <v>0</v>
      </c>
      <c r="E40" s="7">
        <v>0</v>
      </c>
      <c r="F40" s="7">
        <v>75</v>
      </c>
      <c r="G40" s="7"/>
      <c r="H40" s="7">
        <v>1</v>
      </c>
      <c r="I40" s="7">
        <v>6</v>
      </c>
      <c r="J40" s="7"/>
      <c r="K40" s="7">
        <v>428</v>
      </c>
      <c r="L40" s="7">
        <v>400</v>
      </c>
      <c r="M40" s="7">
        <v>9999</v>
      </c>
    </row>
    <row r="41" spans="1:13">
      <c r="A41" s="7" t="s">
        <v>582</v>
      </c>
      <c r="B41" s="7" t="str">
        <f>B40</f>
        <v>AP4</v>
      </c>
      <c r="C41" s="7">
        <v>40</v>
      </c>
      <c r="D41" s="7">
        <v>0</v>
      </c>
      <c r="E41" s="7">
        <v>1</v>
      </c>
      <c r="F41" s="7">
        <f>F40</f>
        <v>75</v>
      </c>
      <c r="G41" s="7"/>
      <c r="H41" s="7">
        <v>1</v>
      </c>
      <c r="I41" s="7">
        <v>6</v>
      </c>
      <c r="J41" s="7"/>
      <c r="K41" s="7">
        <v>77</v>
      </c>
      <c r="L41" s="7">
        <v>57</v>
      </c>
      <c r="M41" s="7">
        <v>64</v>
      </c>
    </row>
    <row r="42" spans="1:13">
      <c r="A42" s="7" t="s">
        <v>583</v>
      </c>
      <c r="B42" s="7" t="str">
        <f t="shared" ref="B42:B44" si="9">B41</f>
        <v>AP4</v>
      </c>
      <c r="C42" s="7">
        <v>10</v>
      </c>
      <c r="D42" s="7">
        <v>0</v>
      </c>
      <c r="E42" s="7">
        <v>1</v>
      </c>
      <c r="F42" s="7">
        <f t="shared" ref="F42:F44" si="10">F41</f>
        <v>75</v>
      </c>
      <c r="G42" s="7"/>
      <c r="H42" s="7">
        <v>1</v>
      </c>
      <c r="I42" s="7">
        <v>6</v>
      </c>
      <c r="J42" s="7"/>
      <c r="K42" s="7">
        <v>236</v>
      </c>
      <c r="L42" s="7">
        <v>200</v>
      </c>
      <c r="M42" s="7">
        <v>220</v>
      </c>
    </row>
    <row r="43" spans="1:13">
      <c r="A43" s="7" t="s">
        <v>584</v>
      </c>
      <c r="B43" s="7" t="str">
        <f t="shared" si="9"/>
        <v>AP4</v>
      </c>
      <c r="C43" s="7">
        <v>20</v>
      </c>
      <c r="D43" s="7">
        <v>0</v>
      </c>
      <c r="E43" s="7"/>
      <c r="F43" s="7">
        <f t="shared" si="10"/>
        <v>75</v>
      </c>
      <c r="G43" s="7"/>
      <c r="H43" s="7">
        <v>1</v>
      </c>
      <c r="I43" s="7">
        <v>6</v>
      </c>
      <c r="J43" s="7"/>
      <c r="K43" s="7">
        <v>109</v>
      </c>
      <c r="L43" s="7">
        <v>102</v>
      </c>
      <c r="M43" s="7">
        <v>107</v>
      </c>
    </row>
    <row r="44" spans="1:13">
      <c r="A44" s="7" t="s">
        <v>585</v>
      </c>
      <c r="B44" s="7" t="str">
        <f t="shared" si="9"/>
        <v>AP4</v>
      </c>
      <c r="C44" s="7">
        <v>30</v>
      </c>
      <c r="D44" s="7">
        <v>0</v>
      </c>
      <c r="E44" s="7"/>
      <c r="F44" s="7">
        <f t="shared" si="10"/>
        <v>75</v>
      </c>
      <c r="G44" s="7"/>
      <c r="H44" s="7">
        <v>1</v>
      </c>
      <c r="I44" s="7">
        <v>6</v>
      </c>
      <c r="J44" s="7"/>
      <c r="K44" s="7">
        <v>77</v>
      </c>
      <c r="L44" s="7">
        <v>71</v>
      </c>
      <c r="M44" s="7">
        <v>79</v>
      </c>
    </row>
    <row r="45" spans="1:13">
      <c r="A45" s="7" t="s">
        <v>586</v>
      </c>
      <c r="B45" s="7" t="str">
        <f>B44</f>
        <v>AP4</v>
      </c>
      <c r="C45" s="7">
        <v>5</v>
      </c>
      <c r="D45" s="7">
        <v>0</v>
      </c>
      <c r="E45" s="7"/>
      <c r="F45" s="7">
        <f>F44</f>
        <v>75</v>
      </c>
      <c r="G45" s="7"/>
      <c r="H45" s="7">
        <v>2</v>
      </c>
      <c r="I45" s="7">
        <v>6</v>
      </c>
      <c r="J45" s="7"/>
      <c r="K45" s="7">
        <v>428</v>
      </c>
      <c r="L45" s="7">
        <v>400</v>
      </c>
      <c r="M45" s="7">
        <v>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587</v>
      </c>
      <c r="B2" s="10" t="s">
        <v>10</v>
      </c>
      <c r="C2" s="10">
        <v>40</v>
      </c>
      <c r="D2" s="10">
        <v>1</v>
      </c>
      <c r="E2" s="10">
        <v>1</v>
      </c>
      <c r="F2" s="5">
        <v>250</v>
      </c>
      <c r="G2" s="5"/>
      <c r="H2" s="5">
        <v>1</v>
      </c>
      <c r="I2" s="5">
        <v>1</v>
      </c>
      <c r="J2" s="5">
        <f>MAX(I:I)</f>
        <v>4</v>
      </c>
      <c r="K2" s="5">
        <v>77</v>
      </c>
      <c r="L2" s="5"/>
      <c r="M2" s="5">
        <v>47</v>
      </c>
    </row>
    <row r="3" spans="1:13">
      <c r="A3" s="9" t="s">
        <v>588</v>
      </c>
      <c r="B3" s="10" t="str">
        <f t="shared" ref="B3:B7" si="0">B2</f>
        <v>AP1</v>
      </c>
      <c r="C3" s="10">
        <v>10</v>
      </c>
      <c r="D3" s="10">
        <v>1</v>
      </c>
      <c r="E3" s="10">
        <v>2</v>
      </c>
      <c r="F3" s="5">
        <v>250</v>
      </c>
      <c r="G3" s="5"/>
      <c r="H3" s="5">
        <v>1</v>
      </c>
      <c r="I3" s="5">
        <v>1</v>
      </c>
      <c r="J3" s="5"/>
      <c r="K3" s="5">
        <v>236</v>
      </c>
      <c r="L3" s="5"/>
      <c r="M3" s="5">
        <v>175</v>
      </c>
    </row>
    <row r="4" spans="1:13">
      <c r="A4" s="5" t="s">
        <v>589</v>
      </c>
      <c r="B4" s="10" t="str">
        <f t="shared" si="0"/>
        <v>AP1</v>
      </c>
      <c r="C4" s="5">
        <v>5</v>
      </c>
      <c r="D4" s="5">
        <v>0</v>
      </c>
      <c r="E4" s="5"/>
      <c r="F4" s="5">
        <v>250</v>
      </c>
      <c r="G4" s="5"/>
      <c r="H4" s="5">
        <v>1</v>
      </c>
      <c r="I4" s="5">
        <v>1</v>
      </c>
      <c r="J4" s="5"/>
      <c r="K4" s="5">
        <v>428</v>
      </c>
      <c r="L4" s="5"/>
      <c r="M4" s="5">
        <v>401</v>
      </c>
    </row>
    <row r="5" spans="1:13">
      <c r="A5" s="5" t="s">
        <v>590</v>
      </c>
      <c r="B5" s="10" t="str">
        <f t="shared" si="0"/>
        <v>AP1</v>
      </c>
      <c r="C5" s="5">
        <v>20</v>
      </c>
      <c r="D5" s="5">
        <v>1</v>
      </c>
      <c r="E5" s="5"/>
      <c r="F5" s="5">
        <v>250</v>
      </c>
      <c r="G5" s="5"/>
      <c r="H5" s="5">
        <v>1</v>
      </c>
      <c r="I5" s="5">
        <v>1</v>
      </c>
      <c r="J5" s="5"/>
      <c r="K5" s="5">
        <v>109</v>
      </c>
      <c r="L5" s="5"/>
      <c r="M5" s="5">
        <v>93</v>
      </c>
    </row>
    <row r="6" spans="1:13">
      <c r="A6" s="5" t="s">
        <v>591</v>
      </c>
      <c r="B6" s="10" t="str">
        <f t="shared" si="0"/>
        <v>AP1</v>
      </c>
      <c r="C6" s="5">
        <v>30</v>
      </c>
      <c r="D6" s="5">
        <v>1</v>
      </c>
      <c r="E6" s="5"/>
      <c r="F6" s="5">
        <v>250</v>
      </c>
      <c r="G6" s="5"/>
      <c r="H6" s="5">
        <v>1</v>
      </c>
      <c r="I6" s="5">
        <v>1</v>
      </c>
      <c r="J6" s="5"/>
      <c r="K6" s="5">
        <v>76</v>
      </c>
      <c r="L6" s="5"/>
      <c r="M6" s="5">
        <v>49</v>
      </c>
    </row>
    <row r="7" spans="1:13">
      <c r="A7" s="5" t="s">
        <v>592</v>
      </c>
      <c r="B7" s="10" t="str">
        <f t="shared" si="0"/>
        <v>AP1</v>
      </c>
      <c r="C7" s="5">
        <v>40</v>
      </c>
      <c r="D7" s="5">
        <v>1</v>
      </c>
      <c r="E7" s="5"/>
      <c r="F7" s="5">
        <v>250</v>
      </c>
      <c r="G7" s="5"/>
      <c r="H7" s="5">
        <v>2</v>
      </c>
      <c r="I7" s="5">
        <v>1</v>
      </c>
      <c r="J7" s="5"/>
      <c r="K7" s="5">
        <v>77</v>
      </c>
      <c r="L7" s="5"/>
      <c r="M7" s="5">
        <v>42</v>
      </c>
    </row>
    <row r="8" spans="1:13">
      <c r="A8" s="5" t="s">
        <v>593</v>
      </c>
      <c r="B8" s="10" t="str">
        <f>B6</f>
        <v>AP1</v>
      </c>
      <c r="C8" s="5">
        <v>100</v>
      </c>
      <c r="D8" s="5">
        <v>1</v>
      </c>
      <c r="E8" s="5"/>
      <c r="F8" s="5">
        <v>250</v>
      </c>
      <c r="G8" s="5"/>
      <c r="H8" s="5">
        <v>0</v>
      </c>
      <c r="I8" s="5">
        <v>1</v>
      </c>
      <c r="J8" s="5"/>
      <c r="K8" s="5">
        <v>45</v>
      </c>
      <c r="L8" s="5">
        <v>32</v>
      </c>
      <c r="M8" s="5">
        <v>18</v>
      </c>
    </row>
    <row r="9" spans="1:13">
      <c r="A9" s="8" t="s">
        <v>594</v>
      </c>
      <c r="B9" s="7" t="s">
        <v>25</v>
      </c>
      <c r="C9" s="8">
        <v>10</v>
      </c>
      <c r="D9" s="7">
        <v>1</v>
      </c>
      <c r="E9" s="7"/>
      <c r="F9" s="7">
        <v>250</v>
      </c>
      <c r="G9" s="8"/>
      <c r="H9" s="7">
        <v>1</v>
      </c>
      <c r="I9" s="7">
        <v>2</v>
      </c>
      <c r="J9" s="7"/>
      <c r="K9" s="7">
        <v>237</v>
      </c>
      <c r="L9" s="7">
        <v>201</v>
      </c>
      <c r="M9" s="7">
        <v>178</v>
      </c>
    </row>
    <row r="10" spans="1:13">
      <c r="A10" s="8" t="s">
        <v>595</v>
      </c>
      <c r="B10" s="7" t="str">
        <f>B9</f>
        <v>AP2</v>
      </c>
      <c r="C10" s="8">
        <v>40</v>
      </c>
      <c r="D10" s="7">
        <v>1</v>
      </c>
      <c r="E10" s="7"/>
      <c r="F10" s="7">
        <f>F9</f>
        <v>250</v>
      </c>
      <c r="G10" s="8"/>
      <c r="H10" s="7">
        <v>1</v>
      </c>
      <c r="I10" s="7">
        <v>2</v>
      </c>
      <c r="J10" s="7"/>
      <c r="K10" s="7">
        <v>77</v>
      </c>
      <c r="L10" s="7">
        <v>56</v>
      </c>
      <c r="M10" s="7">
        <v>41</v>
      </c>
    </row>
    <row r="11" spans="1:13">
      <c r="A11" s="8" t="s">
        <v>596</v>
      </c>
      <c r="B11" s="7" t="str">
        <f t="shared" ref="B11:B14" si="1">B10</f>
        <v>AP2</v>
      </c>
      <c r="C11" s="8">
        <v>5</v>
      </c>
      <c r="D11" s="7">
        <v>1</v>
      </c>
      <c r="E11" s="7"/>
      <c r="F11" s="7">
        <f t="shared" ref="F11:F15" si="2">F10</f>
        <v>250</v>
      </c>
      <c r="G11" s="7"/>
      <c r="H11" s="7">
        <v>1</v>
      </c>
      <c r="I11" s="7">
        <v>2</v>
      </c>
      <c r="J11" s="7"/>
      <c r="K11" s="7">
        <v>428</v>
      </c>
      <c r="L11" s="7"/>
      <c r="M11" s="7">
        <v>326</v>
      </c>
    </row>
    <row r="12" spans="1:13">
      <c r="A12" s="8" t="s">
        <v>597</v>
      </c>
      <c r="B12" s="7" t="str">
        <f t="shared" si="1"/>
        <v>AP2</v>
      </c>
      <c r="C12" s="8">
        <v>20</v>
      </c>
      <c r="D12" s="7">
        <v>1</v>
      </c>
      <c r="E12" s="7"/>
      <c r="F12" s="7">
        <f t="shared" si="2"/>
        <v>250</v>
      </c>
      <c r="G12" s="8"/>
      <c r="H12" s="7">
        <v>1</v>
      </c>
      <c r="I12" s="7">
        <v>2</v>
      </c>
      <c r="J12" s="7"/>
      <c r="K12" s="7">
        <v>108</v>
      </c>
      <c r="L12" s="7"/>
      <c r="M12" s="7">
        <v>49</v>
      </c>
    </row>
    <row r="13" spans="1:13">
      <c r="A13" s="8" t="s">
        <v>598</v>
      </c>
      <c r="B13" s="7" t="str">
        <f t="shared" si="1"/>
        <v>AP2</v>
      </c>
      <c r="C13" s="8">
        <v>30</v>
      </c>
      <c r="D13" s="7">
        <v>1</v>
      </c>
      <c r="E13" s="7"/>
      <c r="F13" s="7">
        <f t="shared" si="2"/>
        <v>250</v>
      </c>
      <c r="G13" s="8"/>
      <c r="H13" s="7">
        <v>1</v>
      </c>
      <c r="I13" s="7">
        <v>2</v>
      </c>
      <c r="J13" s="7"/>
      <c r="K13" s="7">
        <v>76</v>
      </c>
      <c r="L13" s="7"/>
      <c r="M13" s="7">
        <v>51</v>
      </c>
    </row>
    <row r="14" spans="1:13">
      <c r="A14" s="8" t="s">
        <v>599</v>
      </c>
      <c r="B14" s="7" t="str">
        <f t="shared" si="1"/>
        <v>AP2</v>
      </c>
      <c r="C14" s="8">
        <v>10</v>
      </c>
      <c r="D14" s="7">
        <v>1</v>
      </c>
      <c r="E14" s="7"/>
      <c r="F14" s="7">
        <f t="shared" si="2"/>
        <v>250</v>
      </c>
      <c r="G14" s="8"/>
      <c r="H14" s="7">
        <v>2</v>
      </c>
      <c r="I14" s="7">
        <v>2</v>
      </c>
      <c r="J14" s="7"/>
      <c r="K14" s="7">
        <v>236</v>
      </c>
      <c r="L14" s="7"/>
      <c r="M14" s="7">
        <v>177</v>
      </c>
    </row>
    <row r="15" spans="1:13">
      <c r="A15" s="8" t="s">
        <v>600</v>
      </c>
      <c r="B15" s="7" t="str">
        <f>B13</f>
        <v>AP2</v>
      </c>
      <c r="C15" s="8">
        <v>100</v>
      </c>
      <c r="D15" s="7">
        <v>1</v>
      </c>
      <c r="E15" s="7"/>
      <c r="F15" s="7">
        <f t="shared" si="2"/>
        <v>250</v>
      </c>
      <c r="G15" s="8"/>
      <c r="H15" s="7">
        <v>1</v>
      </c>
      <c r="I15" s="7">
        <v>2</v>
      </c>
      <c r="J15" s="7"/>
      <c r="K15" s="7">
        <v>45</v>
      </c>
      <c r="L15" s="7">
        <v>32</v>
      </c>
      <c r="M15" s="7">
        <v>20</v>
      </c>
    </row>
    <row r="16" spans="1:13">
      <c r="A16" s="5" t="s">
        <v>601</v>
      </c>
      <c r="B16" s="4" t="s">
        <v>93</v>
      </c>
      <c r="C16" s="5">
        <v>10</v>
      </c>
      <c r="D16" s="5">
        <v>0</v>
      </c>
      <c r="E16" s="5"/>
      <c r="F16" s="4">
        <v>75</v>
      </c>
      <c r="G16" s="5"/>
      <c r="H16" s="5">
        <v>1</v>
      </c>
      <c r="I16" s="5">
        <v>3</v>
      </c>
      <c r="J16" s="5"/>
      <c r="K16" s="5">
        <v>236</v>
      </c>
      <c r="L16" s="5"/>
      <c r="M16" s="5">
        <v>427</v>
      </c>
    </row>
    <row r="17" spans="1:13">
      <c r="A17" s="5" t="s">
        <v>602</v>
      </c>
      <c r="B17" s="4" t="str">
        <f>B16</f>
        <v>AP3</v>
      </c>
      <c r="C17" s="5">
        <v>5</v>
      </c>
      <c r="D17" s="5">
        <v>0</v>
      </c>
      <c r="E17" s="5"/>
      <c r="F17" s="4">
        <f>F16</f>
        <v>75</v>
      </c>
      <c r="G17" s="5"/>
      <c r="H17" s="5">
        <v>1</v>
      </c>
      <c r="I17" s="5">
        <v>3</v>
      </c>
      <c r="J17" s="5"/>
      <c r="K17" s="5">
        <v>428</v>
      </c>
      <c r="L17" s="5"/>
      <c r="M17" s="5">
        <v>9999</v>
      </c>
    </row>
    <row r="18" spans="1:13">
      <c r="A18" s="5" t="s">
        <v>603</v>
      </c>
      <c r="B18" s="4" t="str">
        <f t="shared" ref="B18:B21" si="3">B17</f>
        <v>AP3</v>
      </c>
      <c r="C18" s="5">
        <v>20</v>
      </c>
      <c r="D18" s="5">
        <v>0</v>
      </c>
      <c r="E18" s="5"/>
      <c r="F18" s="4">
        <f t="shared" ref="F18:F21" si="4">F17</f>
        <v>75</v>
      </c>
      <c r="G18" s="5"/>
      <c r="H18" s="5">
        <v>1</v>
      </c>
      <c r="I18" s="5">
        <v>3</v>
      </c>
      <c r="J18" s="5"/>
      <c r="K18" s="5">
        <v>108</v>
      </c>
      <c r="L18" s="5">
        <v>102</v>
      </c>
      <c r="M18" s="5">
        <v>109</v>
      </c>
    </row>
    <row r="19" spans="1:13">
      <c r="A19" s="5" t="s">
        <v>604</v>
      </c>
      <c r="B19" s="4" t="str">
        <f t="shared" si="3"/>
        <v>AP3</v>
      </c>
      <c r="C19" s="5">
        <v>40</v>
      </c>
      <c r="D19" s="5">
        <v>1</v>
      </c>
      <c r="E19" s="5"/>
      <c r="F19" s="4">
        <f t="shared" si="4"/>
        <v>75</v>
      </c>
      <c r="G19" s="5"/>
      <c r="H19" s="5">
        <v>1</v>
      </c>
      <c r="I19" s="5">
        <v>3</v>
      </c>
      <c r="J19" s="5"/>
      <c r="K19" s="5">
        <v>78</v>
      </c>
      <c r="L19" s="5"/>
      <c r="M19" s="5">
        <v>52</v>
      </c>
    </row>
    <row r="20" spans="1:13">
      <c r="A20" s="5" t="s">
        <v>605</v>
      </c>
      <c r="B20" s="4" t="str">
        <f t="shared" si="3"/>
        <v>AP3</v>
      </c>
      <c r="C20" s="5">
        <v>30</v>
      </c>
      <c r="D20" s="5">
        <v>0</v>
      </c>
      <c r="E20" s="5"/>
      <c r="F20" s="4">
        <f t="shared" si="4"/>
        <v>75</v>
      </c>
      <c r="G20" s="11"/>
      <c r="H20" s="5">
        <v>1</v>
      </c>
      <c r="I20" s="5">
        <v>3</v>
      </c>
      <c r="J20" s="5"/>
      <c r="K20" s="5">
        <v>76</v>
      </c>
      <c r="L20" s="5"/>
      <c r="M20" s="5">
        <v>72</v>
      </c>
    </row>
    <row r="21" spans="1:13">
      <c r="A21" s="5" t="s">
        <v>606</v>
      </c>
      <c r="B21" s="4" t="str">
        <f t="shared" si="3"/>
        <v>AP3</v>
      </c>
      <c r="C21" s="5">
        <v>10</v>
      </c>
      <c r="D21" s="5">
        <v>0</v>
      </c>
      <c r="E21" s="5"/>
      <c r="F21" s="4">
        <f t="shared" si="4"/>
        <v>75</v>
      </c>
      <c r="G21" s="5"/>
      <c r="H21" s="5">
        <v>2</v>
      </c>
      <c r="I21" s="5">
        <v>3</v>
      </c>
      <c r="J21" s="5"/>
      <c r="K21" s="5">
        <v>237</v>
      </c>
      <c r="L21" s="5"/>
      <c r="M21" s="5">
        <v>203</v>
      </c>
    </row>
    <row r="22" spans="1:13">
      <c r="A22" s="7" t="s">
        <v>607</v>
      </c>
      <c r="B22" s="7" t="s">
        <v>102</v>
      </c>
      <c r="C22" s="7">
        <v>20</v>
      </c>
      <c r="D22" s="7">
        <v>0</v>
      </c>
      <c r="E22" s="7">
        <v>1</v>
      </c>
      <c r="F22" s="7">
        <v>75</v>
      </c>
      <c r="G22" s="7"/>
      <c r="H22" s="7">
        <v>1</v>
      </c>
      <c r="I22" s="7">
        <v>4</v>
      </c>
      <c r="J22" s="7"/>
      <c r="K22" s="7">
        <v>109</v>
      </c>
      <c r="L22" s="7"/>
      <c r="M22" s="7">
        <v>111</v>
      </c>
    </row>
    <row r="23" spans="1:13">
      <c r="A23" s="7" t="s">
        <v>608</v>
      </c>
      <c r="B23" s="7" t="str">
        <f>B22</f>
        <v>AP4</v>
      </c>
      <c r="C23" s="7">
        <v>10</v>
      </c>
      <c r="D23" s="7">
        <v>0</v>
      </c>
      <c r="E23" s="7">
        <v>0</v>
      </c>
      <c r="F23" s="7">
        <f>F22</f>
        <v>75</v>
      </c>
      <c r="G23" s="7"/>
      <c r="H23" s="7">
        <v>1</v>
      </c>
      <c r="I23" s="7">
        <v>4</v>
      </c>
      <c r="J23" s="7"/>
      <c r="K23" s="7">
        <v>236</v>
      </c>
      <c r="L23" s="7"/>
      <c r="M23" s="7">
        <v>9999</v>
      </c>
    </row>
    <row r="24" spans="1:13">
      <c r="A24" s="7" t="s">
        <v>609</v>
      </c>
      <c r="B24" s="7" t="str">
        <f t="shared" ref="B24:B27" si="5">B23</f>
        <v>AP4</v>
      </c>
      <c r="C24" s="7">
        <v>5</v>
      </c>
      <c r="D24" s="7">
        <v>0</v>
      </c>
      <c r="E24" s="7"/>
      <c r="F24" s="7">
        <f t="shared" ref="F24:F27" si="6">F23</f>
        <v>75</v>
      </c>
      <c r="G24" s="7"/>
      <c r="H24" s="7">
        <v>1</v>
      </c>
      <c r="I24" s="7">
        <v>4</v>
      </c>
      <c r="J24" s="7"/>
      <c r="K24" s="7">
        <v>428</v>
      </c>
      <c r="L24" s="7"/>
      <c r="M24" s="7">
        <v>408</v>
      </c>
    </row>
    <row r="25" spans="1:13">
      <c r="A25" s="7" t="s">
        <v>610</v>
      </c>
      <c r="B25" s="7" t="str">
        <f t="shared" si="5"/>
        <v>AP4</v>
      </c>
      <c r="C25" s="7">
        <v>40</v>
      </c>
      <c r="D25" s="7">
        <v>0</v>
      </c>
      <c r="E25" s="7"/>
      <c r="F25" s="7">
        <f t="shared" si="6"/>
        <v>75</v>
      </c>
      <c r="G25" s="7"/>
      <c r="H25" s="7">
        <v>1</v>
      </c>
      <c r="I25" s="7">
        <v>4</v>
      </c>
      <c r="J25" s="7"/>
      <c r="K25" s="7">
        <v>76</v>
      </c>
      <c r="L25" s="7"/>
      <c r="M25" s="7">
        <v>90</v>
      </c>
    </row>
    <row r="26" spans="1:13">
      <c r="A26" s="7" t="s">
        <v>611</v>
      </c>
      <c r="B26" s="7" t="str">
        <f t="shared" si="5"/>
        <v>AP4</v>
      </c>
      <c r="C26" s="7">
        <v>30</v>
      </c>
      <c r="D26" s="7">
        <v>0</v>
      </c>
      <c r="E26" s="7"/>
      <c r="F26" s="7">
        <f t="shared" si="6"/>
        <v>75</v>
      </c>
      <c r="G26" s="7"/>
      <c r="H26" s="7">
        <v>1</v>
      </c>
      <c r="I26" s="7">
        <v>4</v>
      </c>
      <c r="J26" s="7"/>
      <c r="K26" s="7">
        <v>76</v>
      </c>
      <c r="L26" s="7"/>
      <c r="M26" s="7">
        <v>75</v>
      </c>
    </row>
    <row r="27" spans="1:13">
      <c r="A27" s="7" t="s">
        <v>612</v>
      </c>
      <c r="B27" s="7" t="str">
        <f t="shared" si="5"/>
        <v>AP4</v>
      </c>
      <c r="C27" s="7">
        <v>20</v>
      </c>
      <c r="D27" s="7">
        <v>0</v>
      </c>
      <c r="E27" s="7"/>
      <c r="F27" s="7">
        <f t="shared" si="6"/>
        <v>75</v>
      </c>
      <c r="G27" s="7"/>
      <c r="H27" s="7">
        <v>2</v>
      </c>
      <c r="I27" s="7">
        <v>4</v>
      </c>
      <c r="J27" s="7"/>
      <c r="K27" s="7">
        <v>110</v>
      </c>
      <c r="L27" s="7"/>
      <c r="M27" s="7">
        <v>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5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3.62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613</v>
      </c>
      <c r="B2" s="10" t="s">
        <v>10</v>
      </c>
      <c r="C2" s="9">
        <v>40</v>
      </c>
      <c r="D2" s="5">
        <v>0</v>
      </c>
      <c r="E2" s="5">
        <v>0</v>
      </c>
      <c r="F2" s="5">
        <v>75</v>
      </c>
      <c r="G2" s="9"/>
      <c r="H2" s="5">
        <v>1</v>
      </c>
      <c r="I2" s="5">
        <v>1</v>
      </c>
      <c r="J2" s="5">
        <f>MAX(I:I)</f>
        <v>2</v>
      </c>
      <c r="K2" s="5">
        <v>75</v>
      </c>
      <c r="L2" s="5"/>
      <c r="M2" s="5">
        <v>56</v>
      </c>
    </row>
    <row r="3" spans="1:13">
      <c r="A3" s="9" t="s">
        <v>614</v>
      </c>
      <c r="B3" s="10" t="str">
        <f>B2</f>
        <v>AP1</v>
      </c>
      <c r="C3" s="10">
        <v>10</v>
      </c>
      <c r="D3" s="10">
        <v>0</v>
      </c>
      <c r="E3" s="10">
        <v>1</v>
      </c>
      <c r="F3" s="5">
        <f>F2</f>
        <v>75</v>
      </c>
      <c r="G3" s="5"/>
      <c r="H3" s="5">
        <v>1</v>
      </c>
      <c r="I3" s="5">
        <v>1</v>
      </c>
      <c r="J3" s="5"/>
      <c r="K3" s="5">
        <v>236</v>
      </c>
      <c r="L3" s="5"/>
      <c r="M3" s="5">
        <v>200</v>
      </c>
    </row>
    <row r="4" spans="1:13">
      <c r="A4" s="9" t="s">
        <v>615</v>
      </c>
      <c r="B4" s="10" t="str">
        <f t="shared" ref="B4:B7" si="0">B3</f>
        <v>AP1</v>
      </c>
      <c r="C4" s="10">
        <v>20</v>
      </c>
      <c r="D4" s="10">
        <v>0</v>
      </c>
      <c r="E4" s="10">
        <v>1</v>
      </c>
      <c r="F4" s="5">
        <f t="shared" ref="F4:F7" si="1">F3</f>
        <v>75</v>
      </c>
      <c r="G4" s="5"/>
      <c r="H4" s="5">
        <v>1</v>
      </c>
      <c r="I4" s="5">
        <v>1</v>
      </c>
      <c r="J4" s="5"/>
      <c r="K4" s="5">
        <v>109</v>
      </c>
      <c r="L4" s="5"/>
      <c r="M4" s="5">
        <v>112</v>
      </c>
    </row>
    <row r="5" spans="1:13">
      <c r="A5" s="5" t="s">
        <v>616</v>
      </c>
      <c r="B5" s="10" t="str">
        <f t="shared" si="0"/>
        <v>AP1</v>
      </c>
      <c r="C5" s="5">
        <v>5</v>
      </c>
      <c r="D5" s="5">
        <v>0</v>
      </c>
      <c r="E5" s="5">
        <v>1</v>
      </c>
      <c r="F5" s="5">
        <f t="shared" si="1"/>
        <v>75</v>
      </c>
      <c r="G5" s="5"/>
      <c r="H5" s="5">
        <v>1</v>
      </c>
      <c r="I5" s="5">
        <v>1</v>
      </c>
      <c r="J5" s="5"/>
      <c r="K5" s="5">
        <v>428</v>
      </c>
      <c r="L5" s="5"/>
      <c r="M5" s="5">
        <v>403</v>
      </c>
    </row>
    <row r="6" spans="1:13">
      <c r="A6" s="5" t="s">
        <v>617</v>
      </c>
      <c r="B6" s="10" t="str">
        <f t="shared" si="0"/>
        <v>AP1</v>
      </c>
      <c r="C6" s="5">
        <v>30</v>
      </c>
      <c r="D6" s="5">
        <v>0</v>
      </c>
      <c r="E6" s="5">
        <v>0</v>
      </c>
      <c r="F6" s="5">
        <f t="shared" si="1"/>
        <v>75</v>
      </c>
      <c r="G6" s="5"/>
      <c r="H6" s="5">
        <v>1</v>
      </c>
      <c r="I6" s="5">
        <v>1</v>
      </c>
      <c r="J6" s="5"/>
      <c r="K6" s="5">
        <v>77</v>
      </c>
      <c r="L6" s="5"/>
      <c r="M6" s="5">
        <v>9999</v>
      </c>
    </row>
    <row r="7" spans="1:13">
      <c r="A7" s="5" t="s">
        <v>618</v>
      </c>
      <c r="B7" s="10" t="str">
        <f t="shared" si="0"/>
        <v>AP1</v>
      </c>
      <c r="C7" s="5">
        <v>40</v>
      </c>
      <c r="D7" s="5">
        <v>0</v>
      </c>
      <c r="E7" s="5">
        <v>0</v>
      </c>
      <c r="F7" s="5">
        <f t="shared" si="1"/>
        <v>75</v>
      </c>
      <c r="G7" s="5"/>
      <c r="H7" s="5">
        <v>2</v>
      </c>
      <c r="I7" s="5">
        <v>1</v>
      </c>
      <c r="J7" s="5"/>
      <c r="K7" s="5">
        <v>77</v>
      </c>
      <c r="L7" s="5"/>
      <c r="M7" s="5">
        <v>9999</v>
      </c>
    </row>
    <row r="8" spans="1:13">
      <c r="A8" s="8" t="s">
        <v>619</v>
      </c>
      <c r="B8" s="7" t="s">
        <v>25</v>
      </c>
      <c r="C8" s="8">
        <v>10</v>
      </c>
      <c r="D8" s="7">
        <v>0</v>
      </c>
      <c r="E8" s="7">
        <v>0</v>
      </c>
      <c r="F8" s="7">
        <v>75</v>
      </c>
      <c r="G8" s="8"/>
      <c r="H8" s="7">
        <v>1</v>
      </c>
      <c r="I8" s="7">
        <v>2</v>
      </c>
      <c r="J8" s="7"/>
      <c r="K8" s="7">
        <v>238</v>
      </c>
      <c r="L8" s="7"/>
      <c r="M8" s="7">
        <v>9999</v>
      </c>
    </row>
    <row r="9" spans="1:13">
      <c r="A9" s="8" t="s">
        <v>620</v>
      </c>
      <c r="B9" s="7" t="str">
        <f>B8</f>
        <v>AP2</v>
      </c>
      <c r="C9" s="8">
        <v>20</v>
      </c>
      <c r="D9" s="7">
        <v>0</v>
      </c>
      <c r="E9" s="7">
        <v>0</v>
      </c>
      <c r="F9" s="7">
        <f>F8</f>
        <v>75</v>
      </c>
      <c r="G9" s="8"/>
      <c r="H9" s="7">
        <v>1</v>
      </c>
      <c r="I9" s="7">
        <v>2</v>
      </c>
      <c r="J9" s="7"/>
      <c r="K9" s="7">
        <v>110</v>
      </c>
      <c r="L9" s="7"/>
      <c r="M9" s="7">
        <v>9999</v>
      </c>
    </row>
    <row r="10" spans="1:13">
      <c r="A10" s="8" t="s">
        <v>621</v>
      </c>
      <c r="B10" s="7" t="str">
        <f t="shared" ref="B10:B13" si="2">B9</f>
        <v>AP2</v>
      </c>
      <c r="C10" s="8">
        <v>40</v>
      </c>
      <c r="D10" s="7">
        <v>0</v>
      </c>
      <c r="E10" s="7">
        <v>1</v>
      </c>
      <c r="F10" s="7">
        <f t="shared" ref="F10:F13" si="3">F9</f>
        <v>75</v>
      </c>
      <c r="G10" s="7"/>
      <c r="H10" s="7">
        <v>1</v>
      </c>
      <c r="I10" s="7">
        <v>2</v>
      </c>
      <c r="J10" s="7"/>
      <c r="K10" s="7">
        <v>77</v>
      </c>
      <c r="L10" s="7"/>
      <c r="M10" s="7">
        <v>60</v>
      </c>
    </row>
    <row r="11" spans="1:13">
      <c r="A11" s="8" t="s">
        <v>622</v>
      </c>
      <c r="B11" s="7" t="str">
        <f t="shared" si="2"/>
        <v>AP2</v>
      </c>
      <c r="C11" s="8">
        <v>5</v>
      </c>
      <c r="D11" s="7">
        <v>0</v>
      </c>
      <c r="E11" s="7">
        <v>1</v>
      </c>
      <c r="F11" s="7">
        <f t="shared" si="3"/>
        <v>75</v>
      </c>
      <c r="G11" s="8"/>
      <c r="H11" s="7">
        <v>1</v>
      </c>
      <c r="I11" s="7">
        <v>2</v>
      </c>
      <c r="J11" s="7"/>
      <c r="K11" s="7">
        <v>434</v>
      </c>
      <c r="L11" s="7"/>
      <c r="M11" s="7">
        <v>413</v>
      </c>
    </row>
    <row r="12" spans="1:13">
      <c r="A12" s="8" t="s">
        <v>623</v>
      </c>
      <c r="B12" s="7" t="str">
        <f t="shared" si="2"/>
        <v>AP2</v>
      </c>
      <c r="C12" s="8">
        <v>30</v>
      </c>
      <c r="D12" s="7">
        <v>0</v>
      </c>
      <c r="E12" s="7">
        <v>0</v>
      </c>
      <c r="F12" s="7">
        <f t="shared" si="3"/>
        <v>75</v>
      </c>
      <c r="G12" s="8"/>
      <c r="H12" s="7">
        <v>1</v>
      </c>
      <c r="I12" s="7">
        <v>2</v>
      </c>
      <c r="J12" s="7"/>
      <c r="K12" s="7">
        <v>77</v>
      </c>
      <c r="L12" s="7"/>
      <c r="M12" s="7">
        <v>9999</v>
      </c>
    </row>
    <row r="13" spans="1:13">
      <c r="A13" s="8" t="s">
        <v>624</v>
      </c>
      <c r="B13" s="7" t="str">
        <f t="shared" si="2"/>
        <v>AP2</v>
      </c>
      <c r="C13" s="8">
        <v>10</v>
      </c>
      <c r="D13" s="7">
        <v>1</v>
      </c>
      <c r="E13" s="7">
        <v>1</v>
      </c>
      <c r="F13" s="7">
        <f t="shared" si="3"/>
        <v>75</v>
      </c>
      <c r="G13" s="8"/>
      <c r="H13" s="7">
        <v>2</v>
      </c>
      <c r="I13" s="7">
        <v>2</v>
      </c>
      <c r="J13" s="7"/>
      <c r="K13" s="7">
        <v>236</v>
      </c>
      <c r="L13" s="7"/>
      <c r="M13" s="7">
        <v>198</v>
      </c>
    </row>
    <row r="14" spans="1:13">
      <c r="A14" s="5"/>
      <c r="B14" s="4" t="s">
        <v>93</v>
      </c>
      <c r="C14" s="5">
        <v>5</v>
      </c>
      <c r="D14" s="5"/>
      <c r="E14" s="5"/>
      <c r="F14" s="4">
        <v>150</v>
      </c>
      <c r="G14" s="5"/>
      <c r="H14" s="5">
        <v>0</v>
      </c>
      <c r="I14" s="5">
        <v>0</v>
      </c>
      <c r="J14" s="5"/>
      <c r="K14" s="5">
        <v>-1</v>
      </c>
      <c r="L14" s="5">
        <v>-1</v>
      </c>
      <c r="M14" s="5">
        <v>-1</v>
      </c>
    </row>
    <row r="15" spans="1:13">
      <c r="A15" s="5"/>
      <c r="B15" s="4" t="str">
        <f>B14</f>
        <v>AP3</v>
      </c>
      <c r="C15" s="5">
        <v>20</v>
      </c>
      <c r="D15" s="5"/>
      <c r="E15" s="5"/>
      <c r="F15" s="4">
        <f>F14</f>
        <v>150</v>
      </c>
      <c r="G15" s="5"/>
      <c r="H15" s="5">
        <v>0</v>
      </c>
      <c r="I15" s="5">
        <v>0</v>
      </c>
      <c r="J15" s="5"/>
      <c r="K15" s="5">
        <v>-1</v>
      </c>
      <c r="L15" s="5">
        <v>-1</v>
      </c>
      <c r="M15" s="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2"/>
  <sheetViews>
    <sheetView topLeftCell="B1"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625</v>
      </c>
      <c r="B2" s="10" t="s">
        <v>10</v>
      </c>
      <c r="C2" s="10">
        <v>5</v>
      </c>
      <c r="D2" s="5">
        <v>0</v>
      </c>
      <c r="E2" s="5">
        <v>1</v>
      </c>
      <c r="F2" s="5">
        <v>150</v>
      </c>
      <c r="G2" s="9"/>
      <c r="H2" s="5">
        <v>1</v>
      </c>
      <c r="I2" s="5">
        <v>1</v>
      </c>
      <c r="J2" s="5">
        <f>MAX(I:I)</f>
        <v>4</v>
      </c>
      <c r="K2" s="5">
        <v>428</v>
      </c>
      <c r="L2" s="5"/>
      <c r="M2" s="5">
        <v>434</v>
      </c>
    </row>
    <row r="3" spans="1:13">
      <c r="A3" s="9" t="s">
        <v>626</v>
      </c>
      <c r="B3" s="10" t="str">
        <f>B2</f>
        <v>AP1</v>
      </c>
      <c r="C3" s="10">
        <v>20</v>
      </c>
      <c r="D3" s="10">
        <v>1</v>
      </c>
      <c r="E3" s="10">
        <v>1</v>
      </c>
      <c r="F3" s="5">
        <f>F2</f>
        <v>150</v>
      </c>
      <c r="G3" s="5"/>
      <c r="H3" s="5">
        <v>1</v>
      </c>
      <c r="I3" s="5">
        <v>1</v>
      </c>
      <c r="J3" s="5"/>
      <c r="K3" s="5">
        <v>109</v>
      </c>
      <c r="L3" s="5"/>
      <c r="M3" s="5">
        <v>97</v>
      </c>
    </row>
    <row r="4" spans="1:13">
      <c r="A4" s="9" t="s">
        <v>627</v>
      </c>
      <c r="B4" s="10" t="str">
        <f t="shared" ref="B4:B6" si="0">B3</f>
        <v>AP1</v>
      </c>
      <c r="C4" s="10">
        <v>10</v>
      </c>
      <c r="D4" s="10">
        <v>0</v>
      </c>
      <c r="E4" s="10">
        <v>1</v>
      </c>
      <c r="F4" s="5">
        <f t="shared" ref="F4:F6" si="1">F3</f>
        <v>150</v>
      </c>
      <c r="G4" s="5"/>
      <c r="H4" s="5">
        <v>1</v>
      </c>
      <c r="I4" s="5">
        <v>1</v>
      </c>
      <c r="J4" s="5"/>
      <c r="K4" s="5">
        <v>236</v>
      </c>
      <c r="L4" s="5"/>
      <c r="M4" s="5">
        <v>210</v>
      </c>
    </row>
    <row r="5" spans="1:13">
      <c r="A5" s="5" t="s">
        <v>628</v>
      </c>
      <c r="B5" s="10" t="str">
        <f t="shared" si="0"/>
        <v>AP1</v>
      </c>
      <c r="C5" s="5">
        <v>40</v>
      </c>
      <c r="D5" s="5">
        <v>0</v>
      </c>
      <c r="E5" s="5">
        <v>1</v>
      </c>
      <c r="F5" s="5">
        <f t="shared" si="1"/>
        <v>150</v>
      </c>
      <c r="G5" s="5"/>
      <c r="H5" s="5">
        <v>1</v>
      </c>
      <c r="I5" s="5">
        <v>1</v>
      </c>
      <c r="J5" s="5"/>
      <c r="K5" s="5">
        <v>77</v>
      </c>
      <c r="L5" s="5"/>
      <c r="M5" s="5">
        <v>45</v>
      </c>
    </row>
    <row r="6" spans="1:13">
      <c r="A6" s="5" t="s">
        <v>629</v>
      </c>
      <c r="B6" s="10" t="str">
        <f t="shared" si="0"/>
        <v>AP1</v>
      </c>
      <c r="C6" s="5">
        <v>30</v>
      </c>
      <c r="D6" s="5">
        <v>0</v>
      </c>
      <c r="E6" s="5">
        <v>0</v>
      </c>
      <c r="F6" s="5">
        <f t="shared" si="1"/>
        <v>150</v>
      </c>
      <c r="G6" s="5"/>
      <c r="H6" s="5">
        <v>1</v>
      </c>
      <c r="I6" s="5">
        <v>1</v>
      </c>
      <c r="J6" s="5"/>
      <c r="K6" s="5">
        <v>76</v>
      </c>
      <c r="L6" s="5"/>
      <c r="M6" s="5">
        <v>9999</v>
      </c>
    </row>
    <row r="7" spans="1:13">
      <c r="A7" s="5" t="s">
        <v>630</v>
      </c>
      <c r="B7" s="10" t="str">
        <f>B3</f>
        <v>AP1</v>
      </c>
      <c r="C7" s="5">
        <v>5</v>
      </c>
      <c r="D7" s="5">
        <v>0</v>
      </c>
      <c r="E7" s="5">
        <v>0</v>
      </c>
      <c r="F7" s="5">
        <f>F3</f>
        <v>150</v>
      </c>
      <c r="G7" s="5"/>
      <c r="H7" s="5">
        <v>2</v>
      </c>
      <c r="I7" s="5">
        <v>1</v>
      </c>
      <c r="J7" s="5"/>
      <c r="K7" s="5">
        <v>428</v>
      </c>
      <c r="L7" s="5"/>
      <c r="M7" s="5">
        <v>9999</v>
      </c>
    </row>
    <row r="8" spans="1:13">
      <c r="A8" s="5" t="s">
        <v>631</v>
      </c>
      <c r="B8" s="10" t="str">
        <f t="shared" ref="B8:B10" si="2">B4</f>
        <v>AP1</v>
      </c>
      <c r="C8" s="5">
        <v>20</v>
      </c>
      <c r="D8" s="5">
        <v>-1</v>
      </c>
      <c r="E8" s="5"/>
      <c r="F8" s="5">
        <f t="shared" ref="F8:F10" si="3">F4</f>
        <v>150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5" t="s">
        <v>632</v>
      </c>
      <c r="B9" s="10" t="str">
        <f t="shared" si="2"/>
        <v>AP1</v>
      </c>
      <c r="C9" s="5">
        <v>20</v>
      </c>
      <c r="D9" s="5">
        <v>-1</v>
      </c>
      <c r="E9" s="5"/>
      <c r="F9" s="5">
        <f t="shared" si="3"/>
        <v>150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633</v>
      </c>
      <c r="B10" s="10" t="str">
        <f t="shared" si="2"/>
        <v>AP1</v>
      </c>
      <c r="C10" s="5">
        <v>100</v>
      </c>
      <c r="D10" s="5">
        <v>0</v>
      </c>
      <c r="E10" s="5"/>
      <c r="F10" s="5">
        <f t="shared" si="3"/>
        <v>150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8" t="s">
        <v>634</v>
      </c>
      <c r="B11" s="7" t="s">
        <v>25</v>
      </c>
      <c r="C11" s="8">
        <v>20</v>
      </c>
      <c r="D11" s="7">
        <v>0</v>
      </c>
      <c r="E11" s="7"/>
      <c r="F11" s="7">
        <v>75</v>
      </c>
      <c r="G11" s="8"/>
      <c r="H11" s="7">
        <v>1</v>
      </c>
      <c r="I11" s="7">
        <v>2</v>
      </c>
      <c r="J11" s="7"/>
      <c r="K11" s="7">
        <v>108</v>
      </c>
      <c r="L11" s="7"/>
      <c r="M11" s="7">
        <v>109</v>
      </c>
    </row>
    <row r="12" spans="1:13">
      <c r="A12" s="8" t="s">
        <v>635</v>
      </c>
      <c r="B12" s="7" t="str">
        <f>B11</f>
        <v>AP2</v>
      </c>
      <c r="C12" s="8">
        <v>10</v>
      </c>
      <c r="D12" s="7">
        <v>0</v>
      </c>
      <c r="E12" s="7"/>
      <c r="F12" s="7">
        <f>F11</f>
        <v>75</v>
      </c>
      <c r="G12" s="8"/>
      <c r="H12" s="7">
        <v>1</v>
      </c>
      <c r="I12" s="7">
        <v>2</v>
      </c>
      <c r="J12" s="7"/>
      <c r="K12" s="7">
        <v>236</v>
      </c>
      <c r="L12" s="7"/>
      <c r="M12" s="7">
        <v>657</v>
      </c>
    </row>
    <row r="13" spans="1:13">
      <c r="A13" s="8" t="s">
        <v>636</v>
      </c>
      <c r="B13" s="7" t="str">
        <f t="shared" ref="B13:B15" si="4">B12</f>
        <v>AP2</v>
      </c>
      <c r="C13" s="8">
        <v>40</v>
      </c>
      <c r="D13" s="7">
        <v>1</v>
      </c>
      <c r="E13" s="7">
        <v>1</v>
      </c>
      <c r="F13" s="7">
        <f t="shared" ref="F13:F15" si="5">F12</f>
        <v>75</v>
      </c>
      <c r="G13" s="7"/>
      <c r="H13" s="7">
        <v>1</v>
      </c>
      <c r="I13" s="7">
        <v>2</v>
      </c>
      <c r="J13" s="7"/>
      <c r="K13" s="7">
        <v>77</v>
      </c>
      <c r="L13" s="7"/>
      <c r="M13" s="7">
        <v>55</v>
      </c>
    </row>
    <row r="14" spans="1:13">
      <c r="A14" s="8" t="s">
        <v>637</v>
      </c>
      <c r="B14" s="7" t="str">
        <f t="shared" si="4"/>
        <v>AP2</v>
      </c>
      <c r="C14" s="8">
        <v>5</v>
      </c>
      <c r="D14" s="7">
        <v>0</v>
      </c>
      <c r="E14" s="7">
        <v>0</v>
      </c>
      <c r="F14" s="7">
        <f t="shared" si="5"/>
        <v>75</v>
      </c>
      <c r="G14" s="8"/>
      <c r="H14" s="7">
        <v>1</v>
      </c>
      <c r="I14" s="7">
        <v>2</v>
      </c>
      <c r="J14" s="7"/>
      <c r="K14" s="7">
        <v>427</v>
      </c>
      <c r="L14" s="7"/>
      <c r="M14" s="7">
        <v>9999</v>
      </c>
    </row>
    <row r="15" spans="1:13">
      <c r="A15" s="8" t="s">
        <v>638</v>
      </c>
      <c r="B15" s="7" t="str">
        <f t="shared" si="4"/>
        <v>AP2</v>
      </c>
      <c r="C15" s="8">
        <v>30</v>
      </c>
      <c r="D15" s="7">
        <v>1</v>
      </c>
      <c r="E15" s="7">
        <v>1</v>
      </c>
      <c r="F15" s="7">
        <f t="shared" si="5"/>
        <v>75</v>
      </c>
      <c r="G15" s="8"/>
      <c r="H15" s="7">
        <v>1</v>
      </c>
      <c r="I15" s="7">
        <v>2</v>
      </c>
      <c r="J15" s="7"/>
      <c r="K15" s="7">
        <v>77</v>
      </c>
      <c r="L15" s="7"/>
      <c r="M15" s="7">
        <v>69</v>
      </c>
    </row>
    <row r="16" spans="1:13">
      <c r="A16" s="8" t="s">
        <v>639</v>
      </c>
      <c r="B16" s="7" t="str">
        <f>B14</f>
        <v>AP2</v>
      </c>
      <c r="C16" s="8">
        <v>20</v>
      </c>
      <c r="D16" s="7">
        <v>1</v>
      </c>
      <c r="E16" s="7"/>
      <c r="F16" s="7">
        <f>F14</f>
        <v>75</v>
      </c>
      <c r="G16" s="8"/>
      <c r="H16" s="7">
        <v>2</v>
      </c>
      <c r="I16" s="7">
        <v>2</v>
      </c>
      <c r="J16" s="7"/>
      <c r="K16" s="7">
        <v>108</v>
      </c>
      <c r="L16" s="7"/>
      <c r="M16" s="7">
        <v>100</v>
      </c>
    </row>
    <row r="17" spans="1:13">
      <c r="A17" s="8" t="s">
        <v>640</v>
      </c>
      <c r="B17" s="7" t="str">
        <f>B15</f>
        <v>AP2</v>
      </c>
      <c r="C17" s="8">
        <v>100</v>
      </c>
      <c r="D17" s="7">
        <v>1</v>
      </c>
      <c r="E17" s="7"/>
      <c r="F17" s="7">
        <f>F15</f>
        <v>75</v>
      </c>
      <c r="G17" s="8"/>
      <c r="H17" s="7">
        <v>0</v>
      </c>
      <c r="I17" s="7">
        <v>2</v>
      </c>
      <c r="J17" s="7"/>
      <c r="K17" s="7">
        <v>44</v>
      </c>
      <c r="L17" s="7"/>
      <c r="M17" s="7">
        <v>27</v>
      </c>
    </row>
    <row r="18" spans="1:13">
      <c r="A18" s="5" t="s">
        <v>641</v>
      </c>
      <c r="B18" s="4" t="s">
        <v>93</v>
      </c>
      <c r="C18" s="5">
        <v>5</v>
      </c>
      <c r="D18" s="5">
        <v>0</v>
      </c>
      <c r="E18" s="5">
        <v>0</v>
      </c>
      <c r="F18" s="4">
        <v>150</v>
      </c>
      <c r="G18" s="5"/>
      <c r="H18" s="5">
        <v>1</v>
      </c>
      <c r="I18" s="5">
        <v>3</v>
      </c>
      <c r="J18" s="5"/>
      <c r="K18" s="5">
        <v>428</v>
      </c>
      <c r="L18" s="5"/>
      <c r="M18" s="5">
        <v>9999</v>
      </c>
    </row>
    <row r="19" spans="1:13">
      <c r="A19" s="5" t="s">
        <v>642</v>
      </c>
      <c r="B19" s="4" t="str">
        <f>B18</f>
        <v>AP3</v>
      </c>
      <c r="C19" s="5">
        <v>40</v>
      </c>
      <c r="D19" s="5">
        <v>0</v>
      </c>
      <c r="E19" s="5">
        <v>1</v>
      </c>
      <c r="F19" s="4">
        <f>F18</f>
        <v>150</v>
      </c>
      <c r="G19" s="5"/>
      <c r="H19" s="5">
        <v>1</v>
      </c>
      <c r="I19" s="5">
        <v>3</v>
      </c>
      <c r="J19" s="5"/>
      <c r="K19" s="5">
        <v>77</v>
      </c>
      <c r="L19" s="5"/>
      <c r="M19" s="5">
        <v>59</v>
      </c>
    </row>
    <row r="20" spans="1:13">
      <c r="A20" s="5" t="s">
        <v>643</v>
      </c>
      <c r="B20" s="4" t="str">
        <f t="shared" ref="B20:B22" si="6">B19</f>
        <v>AP3</v>
      </c>
      <c r="C20" s="5">
        <v>10</v>
      </c>
      <c r="D20" s="5">
        <v>0</v>
      </c>
      <c r="E20" s="5">
        <v>0</v>
      </c>
      <c r="F20" s="4">
        <f t="shared" ref="F20:F22" si="7">F19</f>
        <v>150</v>
      </c>
      <c r="G20" s="5"/>
      <c r="H20" s="5">
        <v>1</v>
      </c>
      <c r="I20" s="5">
        <v>3</v>
      </c>
      <c r="J20" s="5"/>
      <c r="K20" s="5">
        <v>236</v>
      </c>
      <c r="L20" s="5"/>
      <c r="M20" s="5">
        <v>9999</v>
      </c>
    </row>
    <row r="21" spans="1:13">
      <c r="A21" s="5" t="s">
        <v>644</v>
      </c>
      <c r="B21" s="4" t="str">
        <f t="shared" si="6"/>
        <v>AP3</v>
      </c>
      <c r="C21" s="5">
        <v>20</v>
      </c>
      <c r="D21" s="5">
        <v>0</v>
      </c>
      <c r="E21" s="5">
        <v>1</v>
      </c>
      <c r="F21" s="4">
        <f t="shared" si="7"/>
        <v>150</v>
      </c>
      <c r="G21" s="5"/>
      <c r="H21" s="5">
        <v>1</v>
      </c>
      <c r="I21" s="5">
        <v>3</v>
      </c>
      <c r="J21" s="5"/>
      <c r="K21" s="5">
        <v>109</v>
      </c>
      <c r="L21" s="5"/>
      <c r="M21" s="5">
        <v>103</v>
      </c>
    </row>
    <row r="22" spans="1:13">
      <c r="A22" s="5" t="s">
        <v>645</v>
      </c>
      <c r="B22" s="4" t="str">
        <f t="shared" si="6"/>
        <v>AP3</v>
      </c>
      <c r="C22" s="5">
        <v>30</v>
      </c>
      <c r="D22" s="5">
        <v>1</v>
      </c>
      <c r="E22" s="5">
        <v>2</v>
      </c>
      <c r="F22" s="4">
        <f t="shared" si="7"/>
        <v>150</v>
      </c>
      <c r="G22" s="11"/>
      <c r="H22" s="5">
        <v>1</v>
      </c>
      <c r="I22" s="5">
        <v>3</v>
      </c>
      <c r="J22" s="5"/>
      <c r="K22" s="5">
        <v>77</v>
      </c>
      <c r="L22" s="5"/>
      <c r="M22" s="5">
        <v>62</v>
      </c>
    </row>
    <row r="23" spans="1:13">
      <c r="A23" s="5" t="s">
        <v>646</v>
      </c>
      <c r="B23" s="4" t="str">
        <f>B22</f>
        <v>AP3</v>
      </c>
      <c r="C23" s="5">
        <v>5</v>
      </c>
      <c r="D23" s="5">
        <v>0</v>
      </c>
      <c r="E23" s="5">
        <v>2</v>
      </c>
      <c r="F23" s="4">
        <f>F22</f>
        <v>150</v>
      </c>
      <c r="G23" s="5"/>
      <c r="H23" s="5">
        <v>2</v>
      </c>
      <c r="I23" s="5">
        <v>3</v>
      </c>
      <c r="J23" s="5"/>
      <c r="K23" s="5">
        <v>428</v>
      </c>
      <c r="L23" s="5"/>
      <c r="M23" s="5">
        <v>390</v>
      </c>
    </row>
    <row r="24" spans="1:13">
      <c r="A24" s="7" t="s">
        <v>647</v>
      </c>
      <c r="B24" s="7" t="s">
        <v>102</v>
      </c>
      <c r="C24" s="7">
        <v>20</v>
      </c>
      <c r="D24" s="7">
        <v>0</v>
      </c>
      <c r="E24" s="7">
        <v>0</v>
      </c>
      <c r="F24" s="7">
        <v>75</v>
      </c>
      <c r="G24" s="7"/>
      <c r="H24" s="7">
        <v>1</v>
      </c>
      <c r="I24" s="7">
        <v>4</v>
      </c>
      <c r="J24" s="7"/>
      <c r="K24" s="7">
        <v>109</v>
      </c>
      <c r="L24" s="7"/>
      <c r="M24" s="7">
        <v>116</v>
      </c>
    </row>
    <row r="25" spans="1:13">
      <c r="A25" s="7" t="s">
        <v>648</v>
      </c>
      <c r="B25" s="7" t="str">
        <f>B24</f>
        <v>AP4</v>
      </c>
      <c r="C25" s="7">
        <v>40</v>
      </c>
      <c r="D25" s="7">
        <v>0</v>
      </c>
      <c r="E25" s="7">
        <v>1</v>
      </c>
      <c r="F25" s="7">
        <f>F24</f>
        <v>75</v>
      </c>
      <c r="G25" s="7"/>
      <c r="H25" s="7">
        <v>1</v>
      </c>
      <c r="I25" s="7">
        <v>4</v>
      </c>
      <c r="J25" s="7"/>
      <c r="K25" s="7">
        <v>79</v>
      </c>
      <c r="L25" s="7"/>
      <c r="M25" s="7">
        <v>88</v>
      </c>
    </row>
    <row r="26" spans="1:13">
      <c r="A26" s="7" t="s">
        <v>649</v>
      </c>
      <c r="B26" s="7" t="str">
        <f t="shared" ref="B26:B32" si="8">B25</f>
        <v>AP4</v>
      </c>
      <c r="C26" s="7">
        <v>5</v>
      </c>
      <c r="D26" s="7">
        <v>0</v>
      </c>
      <c r="E26" s="7">
        <v>0</v>
      </c>
      <c r="F26" s="7">
        <f t="shared" ref="F26:F32" si="9">F25</f>
        <v>75</v>
      </c>
      <c r="G26" s="7"/>
      <c r="H26" s="7">
        <v>1</v>
      </c>
      <c r="I26" s="7">
        <v>4</v>
      </c>
      <c r="J26" s="7"/>
      <c r="K26" s="7">
        <v>429</v>
      </c>
      <c r="L26" s="7"/>
      <c r="M26" s="7">
        <v>9999</v>
      </c>
    </row>
    <row r="27" spans="1:13">
      <c r="A27" s="7" t="s">
        <v>650</v>
      </c>
      <c r="B27" s="7" t="str">
        <f t="shared" si="8"/>
        <v>AP4</v>
      </c>
      <c r="C27" s="7">
        <v>10</v>
      </c>
      <c r="D27" s="7">
        <v>0</v>
      </c>
      <c r="E27" s="7">
        <v>1</v>
      </c>
      <c r="F27" s="7">
        <f t="shared" si="9"/>
        <v>75</v>
      </c>
      <c r="G27" s="7"/>
      <c r="H27" s="7">
        <v>1</v>
      </c>
      <c r="I27" s="7">
        <v>4</v>
      </c>
      <c r="J27" s="7"/>
      <c r="K27" s="7">
        <v>236</v>
      </c>
      <c r="L27" s="7"/>
      <c r="M27" s="7">
        <v>253</v>
      </c>
    </row>
    <row r="28" spans="1:13">
      <c r="A28" s="7" t="s">
        <v>651</v>
      </c>
      <c r="B28" s="7" t="str">
        <f t="shared" si="8"/>
        <v>AP4</v>
      </c>
      <c r="C28" s="7">
        <v>30</v>
      </c>
      <c r="D28" s="7"/>
      <c r="E28" s="7"/>
      <c r="F28" s="7">
        <f t="shared" si="9"/>
        <v>75</v>
      </c>
      <c r="G28" s="7"/>
      <c r="H28" s="7">
        <v>1</v>
      </c>
      <c r="I28" s="7">
        <v>4</v>
      </c>
      <c r="J28" s="7"/>
      <c r="K28" s="7">
        <v>76</v>
      </c>
      <c r="L28" s="7"/>
      <c r="M28" s="7">
        <v>108</v>
      </c>
    </row>
    <row r="29" spans="1:13">
      <c r="A29" s="7" t="s">
        <v>652</v>
      </c>
      <c r="B29" s="7" t="str">
        <f t="shared" si="8"/>
        <v>AP4</v>
      </c>
      <c r="C29" s="7">
        <v>20</v>
      </c>
      <c r="D29" s="7"/>
      <c r="E29" s="7"/>
      <c r="F29" s="7">
        <f t="shared" si="9"/>
        <v>75</v>
      </c>
      <c r="G29" s="7"/>
      <c r="H29" s="7">
        <v>2</v>
      </c>
      <c r="I29" s="7">
        <v>4</v>
      </c>
      <c r="J29" s="7"/>
      <c r="K29" s="7">
        <v>109</v>
      </c>
      <c r="L29" s="7"/>
      <c r="M29" s="7">
        <v>108</v>
      </c>
    </row>
    <row r="30" spans="1:13">
      <c r="A30" s="7" t="s">
        <v>653</v>
      </c>
      <c r="B30" s="7" t="str">
        <f t="shared" si="8"/>
        <v>AP4</v>
      </c>
      <c r="C30" s="7">
        <v>100</v>
      </c>
      <c r="D30" s="7"/>
      <c r="E30" s="7"/>
      <c r="F30" s="7">
        <f t="shared" si="9"/>
        <v>75</v>
      </c>
      <c r="G30" s="7"/>
      <c r="H30" s="7">
        <v>0</v>
      </c>
      <c r="I30" s="7">
        <v>4</v>
      </c>
      <c r="J30" s="7"/>
      <c r="K30" s="7">
        <v>44</v>
      </c>
      <c r="L30" s="7"/>
      <c r="M30" s="7">
        <v>45</v>
      </c>
    </row>
    <row r="31" spans="1:13">
      <c r="A31" s="7" t="s">
        <v>654</v>
      </c>
      <c r="B31" s="7" t="str">
        <f t="shared" si="8"/>
        <v>AP4</v>
      </c>
      <c r="C31" s="7">
        <v>20</v>
      </c>
      <c r="D31" s="7"/>
      <c r="E31" s="7"/>
      <c r="F31" s="7">
        <f t="shared" si="9"/>
        <v>75</v>
      </c>
      <c r="G31" s="7"/>
      <c r="H31" s="7">
        <v>0</v>
      </c>
      <c r="I31" s="7">
        <v>4</v>
      </c>
      <c r="J31" s="7"/>
      <c r="K31" s="7">
        <v>-1</v>
      </c>
      <c r="L31" s="7">
        <v>-1</v>
      </c>
      <c r="M31" s="7">
        <v>-1</v>
      </c>
    </row>
    <row r="32" spans="1:13">
      <c r="A32" s="7" t="s">
        <v>655</v>
      </c>
      <c r="B32" s="7" t="str">
        <f t="shared" si="8"/>
        <v>AP4</v>
      </c>
      <c r="C32" s="7">
        <v>100</v>
      </c>
      <c r="D32" s="7"/>
      <c r="E32" s="7"/>
      <c r="F32" s="7">
        <f t="shared" si="9"/>
        <v>75</v>
      </c>
      <c r="G32" s="7"/>
      <c r="H32" s="7">
        <v>0</v>
      </c>
      <c r="I32" s="7">
        <v>4</v>
      </c>
      <c r="J32" s="7"/>
      <c r="K32" s="7">
        <v>-1</v>
      </c>
      <c r="L32" s="7">
        <v>-1</v>
      </c>
      <c r="M32" s="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5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656</v>
      </c>
      <c r="B2" s="10" t="s">
        <v>10</v>
      </c>
      <c r="C2" s="10">
        <v>5</v>
      </c>
      <c r="D2" s="5">
        <v>0</v>
      </c>
      <c r="E2" s="5"/>
      <c r="F2" s="5">
        <v>250</v>
      </c>
      <c r="G2" s="9"/>
      <c r="H2" s="5">
        <v>1</v>
      </c>
      <c r="I2" s="5">
        <v>1</v>
      </c>
      <c r="J2" s="5">
        <f>MAX(I:I)</f>
        <v>3</v>
      </c>
      <c r="K2" s="5">
        <v>429</v>
      </c>
      <c r="L2" s="5"/>
      <c r="M2" s="5">
        <v>9999</v>
      </c>
    </row>
    <row r="3" spans="1:13">
      <c r="A3" s="9" t="s">
        <v>657</v>
      </c>
      <c r="B3" s="10" t="str">
        <f>B2</f>
        <v>AP1</v>
      </c>
      <c r="C3" s="9">
        <v>40</v>
      </c>
      <c r="D3" s="10">
        <v>1</v>
      </c>
      <c r="E3" s="10"/>
      <c r="F3" s="5">
        <f>F2</f>
        <v>250</v>
      </c>
      <c r="G3" s="5"/>
      <c r="H3" s="5">
        <v>1</v>
      </c>
      <c r="I3" s="5">
        <v>1</v>
      </c>
      <c r="J3" s="5"/>
      <c r="K3" s="5">
        <v>76</v>
      </c>
      <c r="L3" s="5"/>
      <c r="M3" s="5">
        <v>44</v>
      </c>
    </row>
    <row r="4" spans="1:13">
      <c r="A4" s="9" t="s">
        <v>658</v>
      </c>
      <c r="B4" s="10" t="str">
        <f t="shared" ref="B4:B8" si="0">B3</f>
        <v>AP1</v>
      </c>
      <c r="C4" s="10">
        <v>20</v>
      </c>
      <c r="D4" s="10">
        <v>1</v>
      </c>
      <c r="E4" s="10"/>
      <c r="F4" s="5">
        <f t="shared" ref="F4:F6" si="1">F3</f>
        <v>250</v>
      </c>
      <c r="G4" s="5"/>
      <c r="H4" s="5">
        <v>1</v>
      </c>
      <c r="I4" s="5">
        <v>1</v>
      </c>
      <c r="J4" s="5"/>
      <c r="K4" s="5">
        <v>108</v>
      </c>
      <c r="L4" s="5"/>
      <c r="M4" s="5">
        <v>86</v>
      </c>
    </row>
    <row r="5" spans="1:13">
      <c r="A5" s="5" t="s">
        <v>659</v>
      </c>
      <c r="B5" s="10" t="str">
        <f t="shared" si="0"/>
        <v>AP1</v>
      </c>
      <c r="C5" s="5">
        <v>10</v>
      </c>
      <c r="D5" s="5">
        <v>1</v>
      </c>
      <c r="E5" s="5"/>
      <c r="F5" s="5">
        <f t="shared" si="1"/>
        <v>250</v>
      </c>
      <c r="G5" s="5"/>
      <c r="H5" s="5">
        <v>1</v>
      </c>
      <c r="I5" s="5">
        <v>1</v>
      </c>
      <c r="J5" s="5"/>
      <c r="K5" s="5">
        <v>236</v>
      </c>
      <c r="L5" s="5"/>
      <c r="M5" s="5">
        <v>194</v>
      </c>
    </row>
    <row r="6" spans="1:13">
      <c r="A6" s="5" t="s">
        <v>660</v>
      </c>
      <c r="B6" s="10" t="str">
        <f t="shared" si="0"/>
        <v>AP1</v>
      </c>
      <c r="C6" s="5">
        <v>30</v>
      </c>
      <c r="D6" s="5">
        <v>1</v>
      </c>
      <c r="E6" s="5"/>
      <c r="F6" s="5">
        <f t="shared" si="1"/>
        <v>250</v>
      </c>
      <c r="G6" s="5"/>
      <c r="H6" s="5">
        <v>1</v>
      </c>
      <c r="I6" s="5">
        <v>1</v>
      </c>
      <c r="J6" s="5"/>
      <c r="K6" s="5">
        <v>77</v>
      </c>
      <c r="L6" s="5"/>
      <c r="M6" s="5">
        <v>57</v>
      </c>
    </row>
    <row r="7" spans="1:13">
      <c r="A7" s="5" t="s">
        <v>661</v>
      </c>
      <c r="B7" s="10" t="str">
        <f t="shared" si="0"/>
        <v>AP1</v>
      </c>
      <c r="C7" s="5">
        <v>5</v>
      </c>
      <c r="D7" s="5">
        <v>0</v>
      </c>
      <c r="E7" s="5"/>
      <c r="F7" s="5">
        <v>250</v>
      </c>
      <c r="G7" s="5"/>
      <c r="H7" s="5">
        <v>2</v>
      </c>
      <c r="I7" s="5">
        <v>1</v>
      </c>
      <c r="J7" s="5"/>
      <c r="K7" s="5">
        <v>428</v>
      </c>
      <c r="L7" s="5"/>
      <c r="M7" s="5">
        <v>9999</v>
      </c>
    </row>
    <row r="8" spans="1:13">
      <c r="A8" s="5" t="s">
        <v>662</v>
      </c>
      <c r="B8" s="10" t="str">
        <f t="shared" si="0"/>
        <v>AP1</v>
      </c>
      <c r="C8" s="5">
        <v>100</v>
      </c>
      <c r="D8" s="5">
        <v>1</v>
      </c>
      <c r="E8" s="5"/>
      <c r="F8" s="5">
        <f>F6</f>
        <v>250</v>
      </c>
      <c r="G8" s="5"/>
      <c r="H8" s="5">
        <v>2</v>
      </c>
      <c r="I8" s="5">
        <v>1</v>
      </c>
      <c r="J8" s="5"/>
      <c r="K8" s="5">
        <v>45</v>
      </c>
      <c r="L8" s="5"/>
      <c r="M8" s="5">
        <v>28</v>
      </c>
    </row>
    <row r="9" spans="1:13">
      <c r="A9" s="8" t="s">
        <v>663</v>
      </c>
      <c r="B9" s="7" t="s">
        <v>25</v>
      </c>
      <c r="C9" s="8">
        <v>20</v>
      </c>
      <c r="D9" s="7">
        <v>1</v>
      </c>
      <c r="E9" s="7"/>
      <c r="F9" s="7">
        <v>250</v>
      </c>
      <c r="G9" s="8"/>
      <c r="H9" s="7">
        <v>1</v>
      </c>
      <c r="I9" s="7">
        <v>2</v>
      </c>
      <c r="J9" s="7"/>
      <c r="K9" s="7">
        <v>108</v>
      </c>
      <c r="L9" s="7"/>
      <c r="M9" s="7">
        <v>93</v>
      </c>
    </row>
    <row r="10" spans="1:13">
      <c r="A10" s="8" t="s">
        <v>664</v>
      </c>
      <c r="B10" s="7" t="str">
        <f>B9</f>
        <v>AP2</v>
      </c>
      <c r="C10" s="8">
        <v>40</v>
      </c>
      <c r="D10" s="7">
        <v>1</v>
      </c>
      <c r="E10" s="7"/>
      <c r="F10" s="7">
        <f>F9</f>
        <v>250</v>
      </c>
      <c r="G10" s="8"/>
      <c r="H10" s="7">
        <v>1</v>
      </c>
      <c r="I10" s="7">
        <v>2</v>
      </c>
      <c r="J10" s="7"/>
      <c r="K10" s="7">
        <v>76</v>
      </c>
      <c r="L10" s="7"/>
      <c r="M10" s="7">
        <v>34</v>
      </c>
    </row>
    <row r="11" spans="1:13">
      <c r="A11" s="8" t="s">
        <v>665</v>
      </c>
      <c r="B11" s="7" t="str">
        <f t="shared" ref="B11:B13" si="2">B10</f>
        <v>AP2</v>
      </c>
      <c r="C11" s="8">
        <v>5</v>
      </c>
      <c r="D11" s="7">
        <v>1</v>
      </c>
      <c r="E11" s="7"/>
      <c r="F11" s="7">
        <f t="shared" ref="F11:F13" si="3">F10</f>
        <v>250</v>
      </c>
      <c r="G11" s="7"/>
      <c r="H11" s="7">
        <v>1</v>
      </c>
      <c r="I11" s="7">
        <v>2</v>
      </c>
      <c r="J11" s="7"/>
      <c r="K11" s="7">
        <v>429</v>
      </c>
      <c r="L11" s="7"/>
      <c r="M11" s="7">
        <v>377</v>
      </c>
    </row>
    <row r="12" spans="1:13">
      <c r="A12" s="8" t="s">
        <v>666</v>
      </c>
      <c r="B12" s="7" t="str">
        <f t="shared" si="2"/>
        <v>AP2</v>
      </c>
      <c r="C12" s="8">
        <v>10</v>
      </c>
      <c r="D12" s="7">
        <v>1</v>
      </c>
      <c r="E12" s="7"/>
      <c r="F12" s="7">
        <f t="shared" si="3"/>
        <v>250</v>
      </c>
      <c r="G12" s="8"/>
      <c r="H12" s="7">
        <v>1</v>
      </c>
      <c r="I12" s="7">
        <v>2</v>
      </c>
      <c r="J12" s="7"/>
      <c r="K12" s="7">
        <v>236</v>
      </c>
      <c r="L12" s="7"/>
      <c r="M12" s="7">
        <v>172</v>
      </c>
    </row>
    <row r="13" spans="1:13">
      <c r="A13" s="8" t="s">
        <v>667</v>
      </c>
      <c r="B13" s="7" t="str">
        <f t="shared" si="2"/>
        <v>AP2</v>
      </c>
      <c r="C13" s="8">
        <v>30</v>
      </c>
      <c r="D13" s="7">
        <v>1</v>
      </c>
      <c r="E13" s="7"/>
      <c r="F13" s="7">
        <f t="shared" si="3"/>
        <v>250</v>
      </c>
      <c r="G13" s="8"/>
      <c r="H13" s="7">
        <v>1</v>
      </c>
      <c r="I13" s="7">
        <v>2</v>
      </c>
      <c r="J13" s="7"/>
      <c r="K13" s="7">
        <v>76</v>
      </c>
      <c r="L13" s="7"/>
      <c r="M13" s="7">
        <v>57</v>
      </c>
    </row>
    <row r="14" spans="1:13">
      <c r="A14" s="8" t="s">
        <v>668</v>
      </c>
      <c r="B14" s="7" t="str">
        <f>B12</f>
        <v>AP2</v>
      </c>
      <c r="C14" s="8">
        <v>20</v>
      </c>
      <c r="D14" s="7">
        <v>1</v>
      </c>
      <c r="E14" s="7">
        <v>0</v>
      </c>
      <c r="F14" s="7">
        <f>F12</f>
        <v>250</v>
      </c>
      <c r="G14" s="8"/>
      <c r="H14" s="7">
        <v>2</v>
      </c>
      <c r="I14" s="7">
        <v>2</v>
      </c>
      <c r="J14" s="7"/>
      <c r="K14" s="7">
        <v>109</v>
      </c>
      <c r="L14" s="7"/>
      <c r="M14" s="7">
        <v>95</v>
      </c>
    </row>
    <row r="15" spans="1:13">
      <c r="A15" s="8" t="s">
        <v>669</v>
      </c>
      <c r="B15" s="7" t="str">
        <f t="shared" ref="B15:B18" si="4">B13</f>
        <v>AP2</v>
      </c>
      <c r="C15" s="8">
        <v>100</v>
      </c>
      <c r="D15" s="7">
        <v>1</v>
      </c>
      <c r="E15" s="7">
        <v>1</v>
      </c>
      <c r="F15" s="7">
        <v>250</v>
      </c>
      <c r="G15" s="8"/>
      <c r="H15" s="7">
        <v>0</v>
      </c>
      <c r="I15" s="7">
        <v>2</v>
      </c>
      <c r="J15" s="7"/>
      <c r="K15" s="7">
        <v>44</v>
      </c>
      <c r="L15" s="7"/>
      <c r="M15" s="7">
        <v>26</v>
      </c>
    </row>
    <row r="16" spans="1:13">
      <c r="A16" s="8" t="s">
        <v>670</v>
      </c>
      <c r="B16" s="7" t="str">
        <f t="shared" si="4"/>
        <v>AP2</v>
      </c>
      <c r="C16" s="8">
        <v>20</v>
      </c>
      <c r="D16" s="7">
        <v>-1</v>
      </c>
      <c r="E16" s="7">
        <v>0</v>
      </c>
      <c r="F16" s="7">
        <v>250</v>
      </c>
      <c r="G16" s="8"/>
      <c r="H16" s="7">
        <v>0</v>
      </c>
      <c r="I16" s="7">
        <v>2</v>
      </c>
      <c r="J16" s="7"/>
      <c r="K16" s="7">
        <v>-1</v>
      </c>
      <c r="L16" s="7">
        <v>-1</v>
      </c>
      <c r="M16" s="7">
        <v>-1</v>
      </c>
    </row>
    <row r="17" spans="1:13">
      <c r="A17" s="8" t="s">
        <v>671</v>
      </c>
      <c r="B17" s="7" t="str">
        <f t="shared" si="4"/>
        <v>AP2</v>
      </c>
      <c r="C17" s="8">
        <v>20</v>
      </c>
      <c r="D17" s="7">
        <v>0</v>
      </c>
      <c r="E17" s="7">
        <v>0</v>
      </c>
      <c r="F17" s="7">
        <v>150</v>
      </c>
      <c r="G17" s="8"/>
      <c r="H17" s="7">
        <v>0</v>
      </c>
      <c r="I17" s="7">
        <v>2</v>
      </c>
      <c r="J17" s="7"/>
      <c r="K17" s="7">
        <v>108</v>
      </c>
      <c r="L17" s="7"/>
      <c r="M17" s="7">
        <v>160</v>
      </c>
    </row>
    <row r="18" spans="1:13">
      <c r="A18" s="8" t="s">
        <v>672</v>
      </c>
      <c r="B18" s="7" t="str">
        <f t="shared" si="4"/>
        <v>AP2</v>
      </c>
      <c r="C18" s="8">
        <v>40</v>
      </c>
      <c r="D18" s="7">
        <v>1</v>
      </c>
      <c r="E18" s="7">
        <v>0</v>
      </c>
      <c r="F18" s="7">
        <v>150</v>
      </c>
      <c r="G18" s="8"/>
      <c r="H18" s="7">
        <v>0</v>
      </c>
      <c r="I18" s="7">
        <v>2</v>
      </c>
      <c r="J18" s="7"/>
      <c r="K18" s="7">
        <v>77</v>
      </c>
      <c r="L18" s="7"/>
      <c r="M18" s="7">
        <v>45</v>
      </c>
    </row>
    <row r="19" spans="1:13">
      <c r="A19" s="5" t="s">
        <v>673</v>
      </c>
      <c r="B19" s="4" t="s">
        <v>93</v>
      </c>
      <c r="C19" s="5">
        <v>10</v>
      </c>
      <c r="D19" s="5">
        <v>0</v>
      </c>
      <c r="E19" s="5"/>
      <c r="F19" s="4">
        <v>150</v>
      </c>
      <c r="G19" s="5"/>
      <c r="H19" s="5">
        <v>1</v>
      </c>
      <c r="I19" s="5">
        <v>3</v>
      </c>
      <c r="J19" s="5"/>
      <c r="K19" s="5">
        <v>236</v>
      </c>
      <c r="L19" s="5"/>
      <c r="M19" s="5">
        <v>258</v>
      </c>
    </row>
    <row r="20" spans="1:13">
      <c r="A20" s="5" t="s">
        <v>674</v>
      </c>
      <c r="B20" s="4" t="str">
        <f>B19</f>
        <v>AP3</v>
      </c>
      <c r="C20" s="5">
        <v>20</v>
      </c>
      <c r="D20" s="5">
        <v>0</v>
      </c>
      <c r="E20" s="5"/>
      <c r="F20" s="4">
        <f>F19</f>
        <v>150</v>
      </c>
      <c r="G20" s="5"/>
      <c r="H20" s="5">
        <v>1</v>
      </c>
      <c r="I20" s="5">
        <v>3</v>
      </c>
      <c r="J20" s="5"/>
      <c r="K20" s="5">
        <v>108</v>
      </c>
      <c r="L20" s="5"/>
      <c r="M20" s="5">
        <v>123</v>
      </c>
    </row>
    <row r="21" spans="1:13">
      <c r="A21" s="5" t="s">
        <v>675</v>
      </c>
      <c r="B21" s="4" t="str">
        <f t="shared" ref="B21:B25" si="5">B20</f>
        <v>AP3</v>
      </c>
      <c r="C21" s="5">
        <v>40</v>
      </c>
      <c r="D21" s="5">
        <v>0</v>
      </c>
      <c r="E21" s="5"/>
      <c r="F21" s="4">
        <f t="shared" ref="F21:F25" si="6">F20</f>
        <v>150</v>
      </c>
      <c r="G21" s="5"/>
      <c r="H21" s="5">
        <v>1</v>
      </c>
      <c r="I21" s="5">
        <v>3</v>
      </c>
      <c r="J21" s="5"/>
      <c r="K21" s="5">
        <v>76</v>
      </c>
      <c r="L21" s="5"/>
      <c r="M21" s="5">
        <v>88</v>
      </c>
    </row>
    <row r="22" spans="1:13">
      <c r="A22" s="5" t="s">
        <v>676</v>
      </c>
      <c r="B22" s="4" t="str">
        <f t="shared" si="5"/>
        <v>AP3</v>
      </c>
      <c r="C22" s="5">
        <v>5</v>
      </c>
      <c r="D22" s="5">
        <v>0</v>
      </c>
      <c r="E22" s="5"/>
      <c r="F22" s="4">
        <f t="shared" si="6"/>
        <v>150</v>
      </c>
      <c r="G22" s="5"/>
      <c r="H22" s="5">
        <v>1</v>
      </c>
      <c r="I22" s="5">
        <v>3</v>
      </c>
      <c r="J22" s="5"/>
      <c r="K22" s="5">
        <v>429</v>
      </c>
      <c r="L22" s="5"/>
      <c r="M22" s="5">
        <v>417</v>
      </c>
    </row>
    <row r="23" spans="1:13">
      <c r="A23" s="5" t="s">
        <v>677</v>
      </c>
      <c r="B23" s="4" t="str">
        <f t="shared" si="5"/>
        <v>AP3</v>
      </c>
      <c r="C23" s="5">
        <v>30</v>
      </c>
      <c r="D23" s="5">
        <v>0</v>
      </c>
      <c r="E23" s="5"/>
      <c r="F23" s="4">
        <f t="shared" si="6"/>
        <v>150</v>
      </c>
      <c r="G23" s="11"/>
      <c r="H23" s="5">
        <v>1</v>
      </c>
      <c r="I23" s="5">
        <v>3</v>
      </c>
      <c r="J23" s="5"/>
      <c r="K23" s="5">
        <v>76</v>
      </c>
      <c r="L23" s="5"/>
      <c r="M23" s="5">
        <v>83</v>
      </c>
    </row>
    <row r="24" spans="1:13">
      <c r="A24" s="5" t="s">
        <v>678</v>
      </c>
      <c r="B24" s="4" t="str">
        <f t="shared" si="5"/>
        <v>AP3</v>
      </c>
      <c r="C24" s="5">
        <v>10</v>
      </c>
      <c r="D24" s="5">
        <v>1</v>
      </c>
      <c r="E24" s="5"/>
      <c r="F24" s="4">
        <f t="shared" si="6"/>
        <v>150</v>
      </c>
      <c r="G24" s="11"/>
      <c r="H24" s="5">
        <v>2</v>
      </c>
      <c r="I24" s="5">
        <v>3</v>
      </c>
      <c r="J24" s="5"/>
      <c r="K24" s="5">
        <v>236</v>
      </c>
      <c r="L24" s="5"/>
      <c r="M24" s="5">
        <v>189</v>
      </c>
    </row>
    <row r="25" spans="1:13">
      <c r="A25" s="5" t="s">
        <v>679</v>
      </c>
      <c r="B25" s="4" t="str">
        <f t="shared" si="5"/>
        <v>AP3</v>
      </c>
      <c r="C25" s="5">
        <v>100</v>
      </c>
      <c r="D25" s="5">
        <v>0</v>
      </c>
      <c r="E25" s="5"/>
      <c r="F25" s="4">
        <f t="shared" si="6"/>
        <v>150</v>
      </c>
      <c r="G25" s="5"/>
      <c r="H25" s="5">
        <v>0</v>
      </c>
      <c r="I25" s="5">
        <v>3</v>
      </c>
      <c r="J25" s="5"/>
      <c r="K25" s="5">
        <v>44</v>
      </c>
      <c r="L25" s="5"/>
      <c r="M25" s="5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2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680</v>
      </c>
      <c r="B2" s="10" t="s">
        <v>10</v>
      </c>
      <c r="C2" s="10">
        <v>20</v>
      </c>
      <c r="D2" s="5">
        <v>0</v>
      </c>
      <c r="E2" s="5">
        <v>1</v>
      </c>
      <c r="F2" s="5">
        <v>250</v>
      </c>
      <c r="G2" s="9"/>
      <c r="H2" s="5">
        <v>1</v>
      </c>
      <c r="I2" s="5">
        <v>1</v>
      </c>
      <c r="J2" s="5">
        <f>MAX(I:I)</f>
        <v>2</v>
      </c>
      <c r="K2" s="5">
        <v>109</v>
      </c>
      <c r="L2" s="5">
        <v>101</v>
      </c>
      <c r="M2" s="5">
        <v>104</v>
      </c>
    </row>
    <row r="3" spans="1:13">
      <c r="A3" s="9" t="s">
        <v>681</v>
      </c>
      <c r="B3" s="10" t="str">
        <f>B2</f>
        <v>AP1</v>
      </c>
      <c r="C3" s="9">
        <v>40</v>
      </c>
      <c r="D3" s="10">
        <v>1</v>
      </c>
      <c r="E3" s="10">
        <v>2</v>
      </c>
      <c r="F3" s="5">
        <f>F2</f>
        <v>250</v>
      </c>
      <c r="G3" s="5"/>
      <c r="H3" s="5">
        <v>1</v>
      </c>
      <c r="I3" s="5">
        <v>1</v>
      </c>
      <c r="J3" s="5"/>
      <c r="K3" s="5">
        <v>77</v>
      </c>
      <c r="L3" s="5">
        <v>53</v>
      </c>
      <c r="M3" s="5">
        <v>49</v>
      </c>
    </row>
    <row r="4" spans="1:13">
      <c r="A4" s="9" t="s">
        <v>682</v>
      </c>
      <c r="B4" s="10" t="str">
        <f t="shared" ref="B4:B13" si="0">B3</f>
        <v>AP1</v>
      </c>
      <c r="C4" s="10">
        <v>5</v>
      </c>
      <c r="D4" s="10">
        <v>1</v>
      </c>
      <c r="E4" s="10"/>
      <c r="F4" s="5">
        <f t="shared" ref="F4:F6" si="1">F3</f>
        <v>250</v>
      </c>
      <c r="G4" s="5"/>
      <c r="H4" s="5">
        <v>1</v>
      </c>
      <c r="I4" s="5">
        <v>1</v>
      </c>
      <c r="J4" s="5"/>
      <c r="K4" s="5">
        <v>428</v>
      </c>
      <c r="L4" s="5">
        <v>398</v>
      </c>
      <c r="M4" s="5">
        <v>346</v>
      </c>
    </row>
    <row r="5" spans="1:13">
      <c r="A5" s="5" t="s">
        <v>683</v>
      </c>
      <c r="B5" s="10" t="str">
        <f t="shared" si="0"/>
        <v>AP1</v>
      </c>
      <c r="C5" s="5">
        <v>10</v>
      </c>
      <c r="D5" s="5">
        <v>1</v>
      </c>
      <c r="E5" s="5"/>
      <c r="F5" s="5">
        <f t="shared" si="1"/>
        <v>250</v>
      </c>
      <c r="G5" s="5"/>
      <c r="H5" s="5">
        <v>1</v>
      </c>
      <c r="I5" s="5">
        <v>1</v>
      </c>
      <c r="J5" s="5"/>
      <c r="K5" s="5">
        <v>236</v>
      </c>
      <c r="L5" s="5">
        <v>199</v>
      </c>
      <c r="M5" s="5">
        <v>144</v>
      </c>
    </row>
    <row r="6" spans="1:13">
      <c r="A6" s="5" t="s">
        <v>684</v>
      </c>
      <c r="B6" s="10" t="str">
        <f t="shared" si="0"/>
        <v>AP1</v>
      </c>
      <c r="C6" s="5">
        <v>30</v>
      </c>
      <c r="D6" s="5">
        <v>1</v>
      </c>
      <c r="E6" s="5"/>
      <c r="F6" s="5">
        <f t="shared" si="1"/>
        <v>250</v>
      </c>
      <c r="G6" s="5"/>
      <c r="H6" s="5">
        <v>1</v>
      </c>
      <c r="I6" s="5">
        <v>1</v>
      </c>
      <c r="J6" s="5"/>
      <c r="K6" s="5">
        <v>77</v>
      </c>
      <c r="L6" s="5">
        <v>68</v>
      </c>
      <c r="M6" s="5">
        <v>45</v>
      </c>
    </row>
    <row r="7" spans="1:13">
      <c r="A7" s="5" t="s">
        <v>685</v>
      </c>
      <c r="B7" s="10" t="str">
        <f t="shared" si="0"/>
        <v>AP1</v>
      </c>
      <c r="C7" s="5">
        <v>20</v>
      </c>
      <c r="D7" s="5">
        <v>0</v>
      </c>
      <c r="E7" s="5"/>
      <c r="F7" s="5">
        <v>250</v>
      </c>
      <c r="G7" s="5"/>
      <c r="H7" s="5">
        <v>2</v>
      </c>
      <c r="I7" s="5">
        <v>1</v>
      </c>
      <c r="J7" s="5"/>
      <c r="K7" s="5">
        <v>108</v>
      </c>
      <c r="L7" s="5">
        <v>100</v>
      </c>
      <c r="M7" s="5">
        <v>107</v>
      </c>
    </row>
    <row r="8" spans="1:13">
      <c r="A8" s="5" t="s">
        <v>686</v>
      </c>
      <c r="B8" s="10" t="str">
        <f t="shared" si="0"/>
        <v>AP1</v>
      </c>
      <c r="C8" s="5">
        <v>100</v>
      </c>
      <c r="D8" s="5">
        <v>1</v>
      </c>
      <c r="E8" s="5"/>
      <c r="F8" s="5">
        <v>250</v>
      </c>
      <c r="G8" s="5"/>
      <c r="H8" s="5">
        <v>3</v>
      </c>
      <c r="I8" s="5">
        <v>1</v>
      </c>
      <c r="J8" s="5"/>
      <c r="K8" s="5">
        <v>44</v>
      </c>
      <c r="L8" s="5">
        <v>32</v>
      </c>
      <c r="M8" s="5">
        <v>19</v>
      </c>
    </row>
    <row r="9" spans="1:13">
      <c r="A9" s="5" t="s">
        <v>687</v>
      </c>
      <c r="B9" s="10" t="str">
        <f t="shared" si="0"/>
        <v>AP1</v>
      </c>
      <c r="C9" s="5">
        <v>20</v>
      </c>
      <c r="D9" s="5">
        <v>-1</v>
      </c>
      <c r="E9" s="5"/>
      <c r="F9" s="5">
        <v>250</v>
      </c>
      <c r="G9" s="5"/>
      <c r="H9" s="5">
        <v>0</v>
      </c>
      <c r="I9" s="5">
        <v>1</v>
      </c>
      <c r="J9" s="5"/>
      <c r="K9" s="5">
        <v>-1</v>
      </c>
      <c r="L9" s="5">
        <v>-1</v>
      </c>
      <c r="M9" s="5">
        <v>-1</v>
      </c>
    </row>
    <row r="10" spans="1:13">
      <c r="A10" s="5" t="s">
        <v>688</v>
      </c>
      <c r="B10" s="10" t="str">
        <f t="shared" si="0"/>
        <v>AP1</v>
      </c>
      <c r="C10" s="5">
        <v>20</v>
      </c>
      <c r="D10" s="5">
        <v>-1</v>
      </c>
      <c r="E10" s="5"/>
      <c r="F10" s="5">
        <v>250</v>
      </c>
      <c r="G10" s="5"/>
      <c r="H10" s="5">
        <v>0</v>
      </c>
      <c r="I10" s="5">
        <v>1</v>
      </c>
      <c r="J10" s="5"/>
      <c r="K10" s="5">
        <v>-1</v>
      </c>
      <c r="L10" s="5">
        <v>-1</v>
      </c>
      <c r="M10" s="5">
        <v>-1</v>
      </c>
    </row>
    <row r="11" spans="1:13">
      <c r="A11" s="5" t="s">
        <v>689</v>
      </c>
      <c r="B11" s="10" t="str">
        <f t="shared" si="0"/>
        <v>AP1</v>
      </c>
      <c r="C11" s="5">
        <v>20</v>
      </c>
      <c r="D11" s="5">
        <v>-1</v>
      </c>
      <c r="E11" s="5"/>
      <c r="F11" s="5">
        <v>250</v>
      </c>
      <c r="G11" s="5"/>
      <c r="H11" s="5">
        <v>0</v>
      </c>
      <c r="I11" s="5">
        <v>1</v>
      </c>
      <c r="J11" s="5"/>
      <c r="K11" s="5">
        <v>-1</v>
      </c>
      <c r="L11" s="5">
        <v>-1</v>
      </c>
      <c r="M11" s="5">
        <v>-1</v>
      </c>
    </row>
    <row r="12" spans="1:13">
      <c r="A12" s="5" t="s">
        <v>690</v>
      </c>
      <c r="B12" s="10" t="str">
        <f t="shared" si="0"/>
        <v>AP1</v>
      </c>
      <c r="C12" s="5">
        <v>20</v>
      </c>
      <c r="D12" s="5">
        <v>-1</v>
      </c>
      <c r="E12" s="5"/>
      <c r="F12" s="5">
        <v>250</v>
      </c>
      <c r="G12" s="5"/>
      <c r="H12" s="5">
        <v>0</v>
      </c>
      <c r="I12" s="5">
        <v>1</v>
      </c>
      <c r="J12" s="5"/>
      <c r="K12" s="5">
        <v>-1</v>
      </c>
      <c r="L12" s="5">
        <v>-1</v>
      </c>
      <c r="M12" s="5">
        <v>-1</v>
      </c>
    </row>
    <row r="13" spans="1:13">
      <c r="A13" s="5" t="s">
        <v>691</v>
      </c>
      <c r="B13" s="10" t="str">
        <f t="shared" si="0"/>
        <v>AP1</v>
      </c>
      <c r="C13" s="5">
        <v>20</v>
      </c>
      <c r="D13" s="5">
        <v>0</v>
      </c>
      <c r="E13" s="5"/>
      <c r="F13" s="5">
        <v>250</v>
      </c>
      <c r="G13" s="5"/>
      <c r="H13" s="5">
        <v>0</v>
      </c>
      <c r="I13" s="5">
        <v>1</v>
      </c>
      <c r="J13" s="5"/>
      <c r="K13" s="5">
        <v>-1</v>
      </c>
      <c r="L13" s="5">
        <v>-1</v>
      </c>
      <c r="M13" s="5">
        <v>-1</v>
      </c>
    </row>
    <row r="14" spans="1:13">
      <c r="A14" s="8" t="s">
        <v>692</v>
      </c>
      <c r="B14" s="7" t="s">
        <v>25</v>
      </c>
      <c r="C14" s="8">
        <v>20</v>
      </c>
      <c r="D14" s="7">
        <v>1</v>
      </c>
      <c r="E14" s="7"/>
      <c r="F14" s="7">
        <v>250</v>
      </c>
      <c r="G14" s="8"/>
      <c r="H14" s="7">
        <v>1</v>
      </c>
      <c r="I14" s="7">
        <v>2</v>
      </c>
      <c r="J14" s="7"/>
      <c r="K14" s="7">
        <v>108</v>
      </c>
      <c r="L14" s="7">
        <v>101</v>
      </c>
      <c r="M14" s="7">
        <v>90</v>
      </c>
    </row>
    <row r="15" spans="1:13">
      <c r="A15" s="8" t="s">
        <v>693</v>
      </c>
      <c r="B15" s="7" t="str">
        <f>B14</f>
        <v>AP2</v>
      </c>
      <c r="C15" s="8">
        <v>10</v>
      </c>
      <c r="D15" s="7">
        <v>1</v>
      </c>
      <c r="E15" s="7"/>
      <c r="F15" s="7">
        <f>F14</f>
        <v>250</v>
      </c>
      <c r="G15" s="8"/>
      <c r="H15" s="7">
        <v>1</v>
      </c>
      <c r="I15" s="7">
        <v>2</v>
      </c>
      <c r="J15" s="7"/>
      <c r="K15" s="7">
        <v>237</v>
      </c>
      <c r="L15" s="7">
        <v>200</v>
      </c>
      <c r="M15" s="7">
        <v>175</v>
      </c>
    </row>
    <row r="16" spans="1:13">
      <c r="A16" s="8" t="s">
        <v>694</v>
      </c>
      <c r="B16" s="7" t="str">
        <f t="shared" ref="B16:B22" si="2">B15</f>
        <v>AP2</v>
      </c>
      <c r="C16" s="8">
        <v>5</v>
      </c>
      <c r="D16" s="7">
        <v>0</v>
      </c>
      <c r="E16" s="7"/>
      <c r="F16" s="7">
        <f t="shared" ref="F16:F22" si="3">F15</f>
        <v>250</v>
      </c>
      <c r="G16" s="7"/>
      <c r="H16" s="7">
        <v>1</v>
      </c>
      <c r="I16" s="7">
        <v>2</v>
      </c>
      <c r="J16" s="7"/>
      <c r="K16" s="7">
        <v>429</v>
      </c>
      <c r="L16" s="7">
        <v>399</v>
      </c>
      <c r="M16" s="7">
        <v>379</v>
      </c>
    </row>
    <row r="17" spans="1:13">
      <c r="A17" s="8" t="s">
        <v>695</v>
      </c>
      <c r="B17" s="7" t="str">
        <f t="shared" si="2"/>
        <v>AP2</v>
      </c>
      <c r="C17" s="8">
        <v>40</v>
      </c>
      <c r="D17" s="7">
        <v>1</v>
      </c>
      <c r="E17" s="7"/>
      <c r="F17" s="7">
        <f t="shared" si="3"/>
        <v>250</v>
      </c>
      <c r="G17" s="8"/>
      <c r="H17" s="7">
        <v>1</v>
      </c>
      <c r="I17" s="7">
        <v>2</v>
      </c>
      <c r="J17" s="7"/>
      <c r="K17" s="7">
        <v>77</v>
      </c>
      <c r="L17" s="7">
        <v>53</v>
      </c>
      <c r="M17" s="7">
        <v>40</v>
      </c>
    </row>
    <row r="18" spans="1:13">
      <c r="A18" s="8" t="s">
        <v>696</v>
      </c>
      <c r="B18" s="7" t="str">
        <f t="shared" si="2"/>
        <v>AP2</v>
      </c>
      <c r="C18" s="8">
        <v>30</v>
      </c>
      <c r="D18" s="7">
        <v>1</v>
      </c>
      <c r="E18" s="7"/>
      <c r="F18" s="7">
        <f t="shared" si="3"/>
        <v>250</v>
      </c>
      <c r="G18" s="8"/>
      <c r="H18" s="7">
        <v>1</v>
      </c>
      <c r="I18" s="7">
        <v>2</v>
      </c>
      <c r="J18" s="7"/>
      <c r="K18" s="7">
        <v>76</v>
      </c>
      <c r="L18" s="7">
        <v>68</v>
      </c>
      <c r="M18" s="7">
        <v>52</v>
      </c>
    </row>
    <row r="19" spans="1:13">
      <c r="A19" s="8" t="s">
        <v>697</v>
      </c>
      <c r="B19" s="7" t="str">
        <f t="shared" si="2"/>
        <v>AP2</v>
      </c>
      <c r="C19" s="8">
        <v>20</v>
      </c>
      <c r="D19" s="7">
        <v>1</v>
      </c>
      <c r="E19" s="7"/>
      <c r="F19" s="7">
        <f t="shared" si="3"/>
        <v>250</v>
      </c>
      <c r="G19" s="8"/>
      <c r="H19" s="7">
        <v>2</v>
      </c>
      <c r="I19" s="7">
        <v>2</v>
      </c>
      <c r="J19" s="7"/>
      <c r="K19" s="7">
        <v>109</v>
      </c>
      <c r="L19" s="7">
        <v>101</v>
      </c>
      <c r="M19" s="7">
        <v>92</v>
      </c>
    </row>
    <row r="20" spans="1:13">
      <c r="A20" s="7" t="s">
        <v>698</v>
      </c>
      <c r="B20" s="7" t="str">
        <f t="shared" si="2"/>
        <v>AP2</v>
      </c>
      <c r="C20" s="7">
        <v>100</v>
      </c>
      <c r="D20" s="7">
        <v>1</v>
      </c>
      <c r="E20" s="7"/>
      <c r="F20" s="7">
        <f t="shared" si="3"/>
        <v>250</v>
      </c>
      <c r="G20" s="7"/>
      <c r="H20" s="7">
        <v>3</v>
      </c>
      <c r="I20" s="7">
        <v>2</v>
      </c>
      <c r="J20" s="7"/>
      <c r="K20" s="7">
        <v>44</v>
      </c>
      <c r="L20" s="7">
        <v>32</v>
      </c>
      <c r="M20" s="7">
        <v>15</v>
      </c>
    </row>
    <row r="21" spans="1:13">
      <c r="A21" s="7" t="s">
        <v>699</v>
      </c>
      <c r="B21" s="7" t="str">
        <f t="shared" si="2"/>
        <v>AP2</v>
      </c>
      <c r="C21" s="7">
        <v>20</v>
      </c>
      <c r="D21" s="7">
        <v>-1</v>
      </c>
      <c r="E21" s="7">
        <v>0</v>
      </c>
      <c r="F21" s="7">
        <f t="shared" si="3"/>
        <v>250</v>
      </c>
      <c r="G21" s="7"/>
      <c r="H21" s="7">
        <v>0</v>
      </c>
      <c r="I21" s="7">
        <v>2</v>
      </c>
      <c r="J21" s="7"/>
      <c r="K21" s="7">
        <v>-1</v>
      </c>
      <c r="L21" s="7">
        <v>-1</v>
      </c>
      <c r="M21" s="7">
        <v>-1</v>
      </c>
    </row>
    <row r="22" spans="1:13">
      <c r="A22" s="7" t="s">
        <v>700</v>
      </c>
      <c r="B22" s="7" t="str">
        <f t="shared" si="2"/>
        <v>AP2</v>
      </c>
      <c r="C22" s="7">
        <v>40</v>
      </c>
      <c r="D22" s="7">
        <v>-1</v>
      </c>
      <c r="E22" s="7">
        <v>0</v>
      </c>
      <c r="F22" s="7">
        <f t="shared" si="3"/>
        <v>250</v>
      </c>
      <c r="G22" s="7"/>
      <c r="H22" s="7">
        <v>0</v>
      </c>
      <c r="I22" s="7">
        <v>2</v>
      </c>
      <c r="J22" s="7"/>
      <c r="K22" s="7">
        <v>-1</v>
      </c>
      <c r="L22" s="7">
        <v>-1</v>
      </c>
      <c r="M22" s="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0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4">
      <c r="A2" s="9" t="s">
        <v>701</v>
      </c>
      <c r="B2" s="10" t="s">
        <v>10</v>
      </c>
      <c r="C2" s="10">
        <v>20</v>
      </c>
      <c r="D2" s="5">
        <v>0</v>
      </c>
      <c r="E2" s="5"/>
      <c r="F2" s="5">
        <v>75</v>
      </c>
      <c r="G2" s="9"/>
      <c r="H2" s="5">
        <v>1</v>
      </c>
      <c r="I2" s="5">
        <v>1</v>
      </c>
      <c r="J2" s="5"/>
      <c r="K2" s="5">
        <v>109</v>
      </c>
      <c r="L2" s="5"/>
      <c r="M2" s="5">
        <v>108</v>
      </c>
      <c r="N2" s="5"/>
    </row>
    <row r="3" spans="1:14">
      <c r="A3" s="9" t="s">
        <v>702</v>
      </c>
      <c r="B3" s="10" t="str">
        <f>B2</f>
        <v>AP1</v>
      </c>
      <c r="C3" s="9">
        <v>40</v>
      </c>
      <c r="D3" s="10">
        <v>0</v>
      </c>
      <c r="E3" s="10"/>
      <c r="F3" s="5">
        <f>F2</f>
        <v>75</v>
      </c>
      <c r="G3" s="5"/>
      <c r="H3" s="5">
        <v>1</v>
      </c>
      <c r="I3" s="5">
        <v>1</v>
      </c>
      <c r="J3" s="5"/>
      <c r="K3" s="5">
        <v>76</v>
      </c>
      <c r="L3" s="5"/>
      <c r="M3" s="5">
        <v>51</v>
      </c>
      <c r="N3" s="5"/>
    </row>
    <row r="4" spans="1:14">
      <c r="A4" s="9" t="s">
        <v>703</v>
      </c>
      <c r="B4" s="10" t="str">
        <f t="shared" ref="B4:B9" si="0">B3</f>
        <v>AP1</v>
      </c>
      <c r="C4" s="10">
        <v>10</v>
      </c>
      <c r="D4" s="10">
        <v>0</v>
      </c>
      <c r="E4" s="10"/>
      <c r="F4" s="5">
        <f t="shared" ref="F4:F6" si="1">F3</f>
        <v>75</v>
      </c>
      <c r="G4" s="5"/>
      <c r="H4" s="5">
        <v>1</v>
      </c>
      <c r="I4" s="5">
        <v>1</v>
      </c>
      <c r="J4" s="5"/>
      <c r="K4" s="5">
        <v>236</v>
      </c>
      <c r="L4" s="5"/>
      <c r="M4" s="5">
        <v>210</v>
      </c>
      <c r="N4" s="5"/>
    </row>
    <row r="5" spans="1:14">
      <c r="A5" s="5" t="s">
        <v>704</v>
      </c>
      <c r="B5" s="10" t="str">
        <f t="shared" si="0"/>
        <v>AP1</v>
      </c>
      <c r="C5" s="5">
        <v>5</v>
      </c>
      <c r="D5" s="5">
        <v>0</v>
      </c>
      <c r="E5" s="5"/>
      <c r="F5" s="5">
        <f t="shared" si="1"/>
        <v>75</v>
      </c>
      <c r="G5" s="5"/>
      <c r="H5" s="5">
        <v>1</v>
      </c>
      <c r="I5" s="5">
        <v>1</v>
      </c>
      <c r="J5" s="5"/>
      <c r="K5" s="5">
        <v>428</v>
      </c>
      <c r="L5" s="5"/>
      <c r="M5" s="5">
        <v>9999</v>
      </c>
      <c r="N5" s="5"/>
    </row>
    <row r="6" spans="1:14">
      <c r="A6" s="5" t="s">
        <v>705</v>
      </c>
      <c r="B6" s="10" t="str">
        <f t="shared" si="0"/>
        <v>AP1</v>
      </c>
      <c r="C6" s="5">
        <v>30</v>
      </c>
      <c r="D6" s="5">
        <v>0</v>
      </c>
      <c r="E6" s="5"/>
      <c r="F6" s="5">
        <f t="shared" si="1"/>
        <v>75</v>
      </c>
      <c r="G6" s="5"/>
      <c r="H6" s="5">
        <v>1</v>
      </c>
      <c r="I6" s="5">
        <v>1</v>
      </c>
      <c r="J6" s="5"/>
      <c r="K6" s="5">
        <v>76</v>
      </c>
      <c r="L6" s="5"/>
      <c r="M6" s="5">
        <v>71</v>
      </c>
      <c r="N6" s="5"/>
    </row>
    <row r="7" spans="1:14">
      <c r="A7" s="5" t="s">
        <v>706</v>
      </c>
      <c r="B7" s="10" t="str">
        <f t="shared" si="0"/>
        <v>AP1</v>
      </c>
      <c r="C7" s="5">
        <v>20</v>
      </c>
      <c r="D7" s="5">
        <v>0</v>
      </c>
      <c r="E7" s="5"/>
      <c r="F7" s="5">
        <v>75</v>
      </c>
      <c r="G7" s="5"/>
      <c r="H7" s="5">
        <v>2</v>
      </c>
      <c r="I7" s="5">
        <v>1</v>
      </c>
      <c r="J7" s="5"/>
      <c r="K7" s="5">
        <v>108</v>
      </c>
      <c r="L7" s="5"/>
      <c r="M7" s="5">
        <v>115</v>
      </c>
      <c r="N7" s="5"/>
    </row>
    <row r="8" spans="1:14">
      <c r="A8" s="5" t="s">
        <v>707</v>
      </c>
      <c r="B8" s="10" t="str">
        <f t="shared" si="0"/>
        <v>AP1</v>
      </c>
      <c r="C8" s="5">
        <v>100</v>
      </c>
      <c r="D8" s="5">
        <v>0</v>
      </c>
      <c r="E8" s="5"/>
      <c r="F8" s="5">
        <v>75</v>
      </c>
      <c r="G8" s="5"/>
      <c r="H8" s="5">
        <v>0</v>
      </c>
      <c r="I8" s="5">
        <v>1</v>
      </c>
      <c r="J8" s="5"/>
      <c r="K8" s="5">
        <v>77</v>
      </c>
      <c r="L8" s="5"/>
      <c r="M8" s="5">
        <v>29</v>
      </c>
      <c r="N8" s="5"/>
    </row>
    <row r="9" spans="1:14">
      <c r="A9" s="5" t="s">
        <v>708</v>
      </c>
      <c r="B9" s="10" t="str">
        <f t="shared" si="0"/>
        <v>AP1</v>
      </c>
      <c r="C9" s="5">
        <v>20</v>
      </c>
      <c r="D9" s="5">
        <v>-1</v>
      </c>
      <c r="E9" s="5">
        <v>0</v>
      </c>
      <c r="F9" s="5">
        <v>75</v>
      </c>
      <c r="G9" s="5"/>
      <c r="H9" s="5">
        <v>0</v>
      </c>
      <c r="I9" s="5">
        <v>1</v>
      </c>
      <c r="J9" s="5"/>
      <c r="K9" s="5">
        <v>-1</v>
      </c>
      <c r="L9" s="5"/>
      <c r="M9" s="5">
        <v>-1</v>
      </c>
      <c r="N9" s="5"/>
    </row>
    <row r="10" spans="1:14">
      <c r="A10" s="8" t="s">
        <v>709</v>
      </c>
      <c r="B10" s="7" t="s">
        <v>25</v>
      </c>
      <c r="C10" s="8">
        <v>5</v>
      </c>
      <c r="D10" s="7">
        <v>0</v>
      </c>
      <c r="E10" s="7"/>
      <c r="F10" s="7">
        <v>150</v>
      </c>
      <c r="G10" s="8"/>
      <c r="H10" s="7">
        <v>1</v>
      </c>
      <c r="I10" s="7">
        <v>2</v>
      </c>
      <c r="J10" s="7"/>
      <c r="K10" s="7">
        <v>429</v>
      </c>
      <c r="L10" s="7"/>
      <c r="M10" s="7">
        <v>9999</v>
      </c>
      <c r="N10" s="7"/>
    </row>
    <row r="11" spans="1:14">
      <c r="A11" s="8" t="s">
        <v>710</v>
      </c>
      <c r="B11" s="7" t="str">
        <f>B10</f>
        <v>AP2</v>
      </c>
      <c r="C11" s="8">
        <v>40</v>
      </c>
      <c r="D11" s="7">
        <v>1</v>
      </c>
      <c r="E11" s="7"/>
      <c r="F11" s="7">
        <f>F10</f>
        <v>150</v>
      </c>
      <c r="G11" s="8"/>
      <c r="H11" s="7">
        <v>1</v>
      </c>
      <c r="I11" s="7">
        <v>2</v>
      </c>
      <c r="J11" s="7"/>
      <c r="K11" s="7">
        <v>76</v>
      </c>
      <c r="L11" s="7"/>
      <c r="M11" s="7">
        <v>37</v>
      </c>
      <c r="N11" s="7"/>
    </row>
    <row r="12" spans="1:14">
      <c r="A12" s="8" t="s">
        <v>711</v>
      </c>
      <c r="B12" s="7" t="str">
        <f t="shared" ref="B12:B14" si="2">B11</f>
        <v>AP2</v>
      </c>
      <c r="C12" s="8">
        <v>20</v>
      </c>
      <c r="D12" s="7">
        <v>0</v>
      </c>
      <c r="E12" s="7">
        <v>1</v>
      </c>
      <c r="F12" s="7">
        <f t="shared" ref="F12:F14" si="3">F11</f>
        <v>150</v>
      </c>
      <c r="G12" s="7"/>
      <c r="H12" s="7">
        <v>1</v>
      </c>
      <c r="I12" s="7">
        <v>2</v>
      </c>
      <c r="J12" s="7"/>
      <c r="K12" s="7">
        <v>109</v>
      </c>
      <c r="L12" s="7"/>
      <c r="M12" s="7">
        <v>107</v>
      </c>
      <c r="N12" s="7"/>
    </row>
    <row r="13" spans="1:14">
      <c r="A13" s="8" t="s">
        <v>712</v>
      </c>
      <c r="B13" s="7" t="str">
        <f t="shared" si="2"/>
        <v>AP2</v>
      </c>
      <c r="C13" s="8">
        <v>10</v>
      </c>
      <c r="D13" s="7">
        <v>0</v>
      </c>
      <c r="E13" s="7">
        <v>1</v>
      </c>
      <c r="F13" s="7">
        <f t="shared" si="3"/>
        <v>150</v>
      </c>
      <c r="G13" s="8"/>
      <c r="H13" s="7">
        <v>1</v>
      </c>
      <c r="I13" s="7">
        <v>2</v>
      </c>
      <c r="J13" s="7"/>
      <c r="K13" s="7">
        <v>236</v>
      </c>
      <c r="L13" s="7"/>
      <c r="M13" s="7">
        <v>204</v>
      </c>
      <c r="N13" s="7"/>
    </row>
    <row r="14" spans="1:14">
      <c r="A14" s="8" t="s">
        <v>713</v>
      </c>
      <c r="B14" s="7" t="str">
        <f t="shared" si="2"/>
        <v>AP2</v>
      </c>
      <c r="C14" s="8">
        <v>30</v>
      </c>
      <c r="D14" s="7">
        <v>1</v>
      </c>
      <c r="E14" s="7"/>
      <c r="F14" s="7">
        <f t="shared" si="3"/>
        <v>150</v>
      </c>
      <c r="G14" s="8"/>
      <c r="H14" s="7">
        <v>1</v>
      </c>
      <c r="I14" s="7">
        <v>2</v>
      </c>
      <c r="J14" s="7"/>
      <c r="K14" s="7">
        <v>76</v>
      </c>
      <c r="L14" s="7"/>
      <c r="M14" s="7">
        <v>62</v>
      </c>
      <c r="N14" s="7"/>
    </row>
    <row r="15" spans="1:14">
      <c r="A15" s="8" t="s">
        <v>714</v>
      </c>
      <c r="B15" s="7" t="str">
        <f>B13</f>
        <v>AP2</v>
      </c>
      <c r="C15" s="8">
        <v>5</v>
      </c>
      <c r="D15" s="7">
        <v>0</v>
      </c>
      <c r="E15" s="7"/>
      <c r="F15" s="7">
        <f>F13</f>
        <v>150</v>
      </c>
      <c r="G15" s="8"/>
      <c r="H15" s="7">
        <v>2</v>
      </c>
      <c r="I15" s="7">
        <v>2</v>
      </c>
      <c r="J15" s="7"/>
      <c r="K15" s="7">
        <v>428</v>
      </c>
      <c r="L15" s="7"/>
      <c r="M15" s="7">
        <v>9999</v>
      </c>
      <c r="N15" s="7"/>
    </row>
    <row r="16" spans="1:14">
      <c r="A16" s="8" t="s">
        <v>715</v>
      </c>
      <c r="B16" s="7" t="str">
        <f>B14</f>
        <v>AP2</v>
      </c>
      <c r="C16" s="8">
        <v>20</v>
      </c>
      <c r="D16" s="7">
        <v>-1</v>
      </c>
      <c r="E16" s="7">
        <v>0</v>
      </c>
      <c r="F16" s="7">
        <f>F14</f>
        <v>150</v>
      </c>
      <c r="G16" s="8"/>
      <c r="H16" s="7">
        <v>0</v>
      </c>
      <c r="I16" s="7">
        <v>2</v>
      </c>
      <c r="J16" s="7"/>
      <c r="K16" s="7">
        <v>-1</v>
      </c>
      <c r="L16" s="7"/>
      <c r="M16" s="7">
        <v>-1</v>
      </c>
      <c r="N16" s="7"/>
    </row>
    <row r="17" spans="1:14">
      <c r="A17" s="5" t="s">
        <v>716</v>
      </c>
      <c r="B17" s="4" t="s">
        <v>93</v>
      </c>
      <c r="C17" s="5">
        <v>10</v>
      </c>
      <c r="D17" s="5">
        <v>0</v>
      </c>
      <c r="E17" s="5">
        <v>0</v>
      </c>
      <c r="F17" s="4">
        <v>75</v>
      </c>
      <c r="G17" s="5"/>
      <c r="H17" s="5">
        <v>1</v>
      </c>
      <c r="I17" s="5">
        <v>3</v>
      </c>
      <c r="J17" s="5"/>
      <c r="K17" s="5">
        <v>236</v>
      </c>
      <c r="L17" s="5"/>
      <c r="M17" s="5">
        <v>9999</v>
      </c>
      <c r="N17" s="5"/>
    </row>
    <row r="18" spans="1:14">
      <c r="A18" s="5" t="s">
        <v>717</v>
      </c>
      <c r="B18" s="4" t="str">
        <f t="shared" ref="B18:B24" si="4">B17</f>
        <v>AP3</v>
      </c>
      <c r="C18" s="5">
        <v>40</v>
      </c>
      <c r="D18" s="5">
        <v>0</v>
      </c>
      <c r="E18" s="5">
        <v>1</v>
      </c>
      <c r="F18" s="4">
        <v>75</v>
      </c>
      <c r="G18" s="5"/>
      <c r="H18" s="5">
        <v>1</v>
      </c>
      <c r="I18" s="5">
        <v>3</v>
      </c>
      <c r="J18" s="5"/>
      <c r="K18" s="5">
        <v>77</v>
      </c>
      <c r="L18" s="5"/>
      <c r="M18" s="5">
        <v>55</v>
      </c>
      <c r="N18" s="5"/>
    </row>
    <row r="19" spans="1:14">
      <c r="A19" s="5" t="s">
        <v>718</v>
      </c>
      <c r="B19" s="4" t="str">
        <f t="shared" si="4"/>
        <v>AP3</v>
      </c>
      <c r="C19" s="5">
        <v>10</v>
      </c>
      <c r="D19" s="5">
        <v>0</v>
      </c>
      <c r="E19" s="5">
        <v>1</v>
      </c>
      <c r="F19" s="4">
        <v>150</v>
      </c>
      <c r="G19" s="11"/>
      <c r="H19" s="5">
        <v>1</v>
      </c>
      <c r="I19" s="5">
        <v>3</v>
      </c>
      <c r="J19" s="5"/>
      <c r="K19" s="5">
        <v>236</v>
      </c>
      <c r="L19" s="5"/>
      <c r="M19" s="5">
        <v>209</v>
      </c>
      <c r="N19" s="5"/>
    </row>
    <row r="20" spans="1:14">
      <c r="A20" s="5" t="s">
        <v>719</v>
      </c>
      <c r="B20" s="4" t="str">
        <f t="shared" si="4"/>
        <v>AP3</v>
      </c>
      <c r="C20" s="5">
        <v>40</v>
      </c>
      <c r="D20" s="5">
        <v>0</v>
      </c>
      <c r="E20" s="5">
        <v>1</v>
      </c>
      <c r="F20" s="4">
        <v>150</v>
      </c>
      <c r="G20" s="11"/>
      <c r="H20" s="5">
        <v>1</v>
      </c>
      <c r="I20" s="5">
        <v>3</v>
      </c>
      <c r="J20" s="5"/>
      <c r="K20" s="5">
        <v>76</v>
      </c>
      <c r="L20" s="5"/>
      <c r="M20" s="5">
        <v>56</v>
      </c>
      <c r="N20" s="5"/>
    </row>
    <row r="21" spans="1:14">
      <c r="A21" s="5" t="s">
        <v>720</v>
      </c>
      <c r="B21" s="4" t="str">
        <f t="shared" si="4"/>
        <v>AP3</v>
      </c>
      <c r="C21" s="5">
        <v>10</v>
      </c>
      <c r="D21" s="5">
        <v>1</v>
      </c>
      <c r="E21" s="5">
        <v>1</v>
      </c>
      <c r="F21" s="4">
        <v>250</v>
      </c>
      <c r="G21" s="11"/>
      <c r="H21" s="5">
        <v>1</v>
      </c>
      <c r="I21" s="5">
        <v>3</v>
      </c>
      <c r="J21" s="5"/>
      <c r="K21" s="5">
        <v>236</v>
      </c>
      <c r="L21" s="5"/>
      <c r="M21" s="5">
        <v>183</v>
      </c>
      <c r="N21" s="5"/>
    </row>
    <row r="22" spans="1:14">
      <c r="A22" s="5" t="s">
        <v>721</v>
      </c>
      <c r="B22" s="4" t="str">
        <f t="shared" si="4"/>
        <v>AP3</v>
      </c>
      <c r="C22" s="5">
        <v>40</v>
      </c>
      <c r="D22" s="5">
        <v>1</v>
      </c>
      <c r="E22" s="5">
        <v>1</v>
      </c>
      <c r="F22" s="4">
        <v>250</v>
      </c>
      <c r="G22" s="5"/>
      <c r="H22" s="5">
        <v>1</v>
      </c>
      <c r="I22" s="5">
        <v>3</v>
      </c>
      <c r="J22" s="5"/>
      <c r="K22" s="5">
        <v>77</v>
      </c>
      <c r="L22" s="5"/>
      <c r="M22" s="5">
        <v>48</v>
      </c>
      <c r="N22" s="5"/>
    </row>
    <row r="23" spans="1:14">
      <c r="A23" s="5" t="s">
        <v>722</v>
      </c>
      <c r="B23" s="4" t="str">
        <f t="shared" si="4"/>
        <v>AP3</v>
      </c>
      <c r="C23" s="5">
        <v>10</v>
      </c>
      <c r="D23" s="5">
        <v>0</v>
      </c>
      <c r="E23" s="5">
        <v>1</v>
      </c>
      <c r="F23" s="4">
        <v>75</v>
      </c>
      <c r="G23" s="5"/>
      <c r="H23" s="5">
        <v>1</v>
      </c>
      <c r="I23" s="5">
        <v>3</v>
      </c>
      <c r="J23" s="5"/>
      <c r="K23" s="5">
        <v>236</v>
      </c>
      <c r="L23" s="5"/>
      <c r="M23" s="5">
        <v>206</v>
      </c>
      <c r="N23" s="5"/>
    </row>
    <row r="24" spans="1:14">
      <c r="A24" s="5" t="s">
        <v>723</v>
      </c>
      <c r="B24" s="4" t="str">
        <f t="shared" si="4"/>
        <v>AP3</v>
      </c>
      <c r="C24" s="5">
        <v>40</v>
      </c>
      <c r="D24" s="5">
        <v>0</v>
      </c>
      <c r="E24" s="5">
        <v>1</v>
      </c>
      <c r="F24" s="4">
        <v>75</v>
      </c>
      <c r="G24" s="5"/>
      <c r="H24" s="5">
        <v>1</v>
      </c>
      <c r="I24" s="5">
        <v>3</v>
      </c>
      <c r="J24" s="5"/>
      <c r="K24" s="5">
        <v>76</v>
      </c>
      <c r="L24" s="5"/>
      <c r="M24" s="5">
        <v>52</v>
      </c>
      <c r="N24" s="5"/>
    </row>
    <row r="25" spans="1:14">
      <c r="A25" s="7" t="s">
        <v>724</v>
      </c>
      <c r="B25" s="7" t="s">
        <v>102</v>
      </c>
      <c r="C25" s="7">
        <v>10</v>
      </c>
      <c r="D25" s="7">
        <v>0</v>
      </c>
      <c r="E25" s="7"/>
      <c r="F25" s="7">
        <v>75</v>
      </c>
      <c r="G25" s="7"/>
      <c r="H25" s="7">
        <v>1</v>
      </c>
      <c r="I25" s="7">
        <v>4</v>
      </c>
      <c r="J25" s="7"/>
      <c r="K25" s="7">
        <v>237</v>
      </c>
      <c r="L25" s="7"/>
      <c r="M25" s="7">
        <v>9999</v>
      </c>
      <c r="N25" s="7"/>
    </row>
    <row r="26" spans="1:14">
      <c r="A26" s="7" t="s">
        <v>725</v>
      </c>
      <c r="B26" s="7" t="str">
        <f>B25</f>
        <v>AP4</v>
      </c>
      <c r="C26" s="7">
        <v>20</v>
      </c>
      <c r="D26" s="7">
        <v>0</v>
      </c>
      <c r="E26" s="7">
        <v>1</v>
      </c>
      <c r="F26" s="7">
        <f>F25</f>
        <v>75</v>
      </c>
      <c r="G26" s="7"/>
      <c r="H26" s="7">
        <v>1</v>
      </c>
      <c r="I26" s="7">
        <v>4</v>
      </c>
      <c r="J26" s="7"/>
      <c r="K26" s="7">
        <v>108</v>
      </c>
      <c r="L26" s="7"/>
      <c r="M26" s="7">
        <v>124</v>
      </c>
      <c r="N26" s="7"/>
    </row>
    <row r="27" spans="1:14">
      <c r="A27" s="7" t="s">
        <v>726</v>
      </c>
      <c r="B27" s="7" t="str">
        <f t="shared" ref="B27:B30" si="5">B26</f>
        <v>AP4</v>
      </c>
      <c r="C27" s="7">
        <v>5</v>
      </c>
      <c r="D27" s="7">
        <v>0</v>
      </c>
      <c r="E27" s="7"/>
      <c r="F27" s="7">
        <f t="shared" ref="F27:F30" si="6">F26</f>
        <v>75</v>
      </c>
      <c r="G27" s="7"/>
      <c r="H27" s="7">
        <v>1</v>
      </c>
      <c r="I27" s="7">
        <v>4</v>
      </c>
      <c r="J27" s="7"/>
      <c r="K27" s="7">
        <v>428</v>
      </c>
      <c r="L27" s="7"/>
      <c r="M27" s="7">
        <v>443</v>
      </c>
      <c r="N27" s="7"/>
    </row>
    <row r="28" spans="1:14">
      <c r="A28" s="7" t="s">
        <v>727</v>
      </c>
      <c r="B28" s="7" t="str">
        <f t="shared" si="5"/>
        <v>AP4</v>
      </c>
      <c r="C28" s="7">
        <v>40</v>
      </c>
      <c r="D28" s="7">
        <v>1</v>
      </c>
      <c r="E28" s="7">
        <v>0</v>
      </c>
      <c r="F28" s="7">
        <f t="shared" si="6"/>
        <v>75</v>
      </c>
      <c r="G28" s="7"/>
      <c r="H28" s="7">
        <v>1</v>
      </c>
      <c r="I28" s="7">
        <v>4</v>
      </c>
      <c r="J28" s="7"/>
      <c r="K28" s="7">
        <v>77</v>
      </c>
      <c r="L28" s="7"/>
      <c r="M28" s="7">
        <v>53</v>
      </c>
      <c r="N28" s="7"/>
    </row>
    <row r="29" spans="1:14">
      <c r="A29" s="7" t="s">
        <v>728</v>
      </c>
      <c r="B29" s="7" t="str">
        <f t="shared" si="5"/>
        <v>AP4</v>
      </c>
      <c r="C29" s="7">
        <v>30</v>
      </c>
      <c r="D29" s="7">
        <v>0</v>
      </c>
      <c r="E29" s="7">
        <v>1</v>
      </c>
      <c r="F29" s="7">
        <f t="shared" si="6"/>
        <v>75</v>
      </c>
      <c r="G29" s="7"/>
      <c r="H29" s="7">
        <v>1</v>
      </c>
      <c r="I29" s="7">
        <v>4</v>
      </c>
      <c r="J29" s="7"/>
      <c r="K29" s="7">
        <v>77</v>
      </c>
      <c r="L29" s="7"/>
      <c r="M29" s="7">
        <v>83</v>
      </c>
      <c r="N29" s="7"/>
    </row>
    <row r="30" spans="1:14">
      <c r="A30" s="29" t="s">
        <v>729</v>
      </c>
      <c r="B30" s="29" t="str">
        <f t="shared" si="5"/>
        <v>AP4</v>
      </c>
      <c r="C30" s="29">
        <v>20</v>
      </c>
      <c r="D30" s="29">
        <v>0</v>
      </c>
      <c r="E30" s="29"/>
      <c r="F30" s="29">
        <f t="shared" si="6"/>
        <v>75</v>
      </c>
      <c r="G30" s="29"/>
      <c r="H30" s="29">
        <v>2</v>
      </c>
      <c r="I30" s="29">
        <v>4</v>
      </c>
      <c r="J30" s="29"/>
      <c r="K30" s="29">
        <v>108</v>
      </c>
      <c r="L30" s="29"/>
      <c r="M30" s="29">
        <v>124</v>
      </c>
      <c r="N30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7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4">
      <c r="A2" s="9" t="s">
        <v>730</v>
      </c>
      <c r="B2" s="10" t="s">
        <v>10</v>
      </c>
      <c r="C2" s="10">
        <v>10</v>
      </c>
      <c r="D2" s="5">
        <v>0</v>
      </c>
      <c r="E2" s="5">
        <v>0</v>
      </c>
      <c r="F2" s="5">
        <v>75</v>
      </c>
      <c r="G2" s="9"/>
      <c r="H2" s="5">
        <v>1</v>
      </c>
      <c r="I2" s="5">
        <v>1</v>
      </c>
      <c r="J2" s="5">
        <f>MAX(I:I)</f>
        <v>2</v>
      </c>
      <c r="K2" s="5">
        <v>235</v>
      </c>
      <c r="L2" s="5"/>
      <c r="M2" s="5">
        <v>9999</v>
      </c>
      <c r="N2" s="5"/>
    </row>
    <row r="3" spans="1:14">
      <c r="A3" s="9" t="s">
        <v>731</v>
      </c>
      <c r="B3" s="10" t="str">
        <f>B2</f>
        <v>AP1</v>
      </c>
      <c r="C3" s="9">
        <v>40</v>
      </c>
      <c r="D3" s="10">
        <v>0</v>
      </c>
      <c r="E3" s="10">
        <v>1</v>
      </c>
      <c r="F3" s="5">
        <f>F2</f>
        <v>75</v>
      </c>
      <c r="G3" s="5"/>
      <c r="H3" s="5">
        <v>1</v>
      </c>
      <c r="I3" s="5">
        <v>1</v>
      </c>
      <c r="J3" s="5"/>
      <c r="K3" s="5">
        <v>76</v>
      </c>
      <c r="L3" s="5"/>
      <c r="M3" s="5">
        <v>59</v>
      </c>
      <c r="N3" s="5"/>
    </row>
    <row r="4" spans="1:14">
      <c r="A4" s="9" t="s">
        <v>732</v>
      </c>
      <c r="B4" s="10" t="str">
        <f t="shared" ref="B4:B7" si="0">B3</f>
        <v>AP1</v>
      </c>
      <c r="C4" s="10">
        <v>5</v>
      </c>
      <c r="D4" s="10">
        <v>0</v>
      </c>
      <c r="E4" s="10">
        <v>0</v>
      </c>
      <c r="F4" s="5">
        <f t="shared" ref="F4:F6" si="1">F3</f>
        <v>75</v>
      </c>
      <c r="G4" s="5"/>
      <c r="H4" s="5">
        <v>1</v>
      </c>
      <c r="I4" s="5">
        <v>1</v>
      </c>
      <c r="J4" s="5"/>
      <c r="K4" s="5">
        <v>429</v>
      </c>
      <c r="L4" s="5"/>
      <c r="M4" s="5">
        <v>9999</v>
      </c>
      <c r="N4" s="5"/>
    </row>
    <row r="5" spans="1:14">
      <c r="A5" s="5" t="s">
        <v>733</v>
      </c>
      <c r="B5" s="10" t="str">
        <f t="shared" si="0"/>
        <v>AP1</v>
      </c>
      <c r="C5" s="5">
        <v>20</v>
      </c>
      <c r="D5" s="5">
        <v>0</v>
      </c>
      <c r="E5" s="5">
        <v>0</v>
      </c>
      <c r="F5" s="5">
        <f t="shared" si="1"/>
        <v>75</v>
      </c>
      <c r="G5" s="5"/>
      <c r="H5" s="5">
        <v>1</v>
      </c>
      <c r="I5" s="5">
        <v>1</v>
      </c>
      <c r="J5" s="5"/>
      <c r="K5" s="5">
        <v>109</v>
      </c>
      <c r="L5" s="5"/>
      <c r="M5" s="5">
        <v>9999</v>
      </c>
      <c r="N5" s="5"/>
    </row>
    <row r="6" spans="1:14">
      <c r="A6" s="5" t="s">
        <v>734</v>
      </c>
      <c r="B6" s="10" t="str">
        <f t="shared" si="0"/>
        <v>AP1</v>
      </c>
      <c r="C6" s="5">
        <v>30</v>
      </c>
      <c r="D6" s="5">
        <v>0</v>
      </c>
      <c r="E6" s="5">
        <v>1</v>
      </c>
      <c r="F6" s="5">
        <f t="shared" si="1"/>
        <v>75</v>
      </c>
      <c r="G6" s="5"/>
      <c r="H6" s="5">
        <v>1</v>
      </c>
      <c r="I6" s="5">
        <v>1</v>
      </c>
      <c r="J6" s="5"/>
      <c r="K6" s="5">
        <v>76</v>
      </c>
      <c r="L6" s="5"/>
      <c r="M6" s="5">
        <v>75</v>
      </c>
      <c r="N6" s="5"/>
    </row>
    <row r="7" spans="1:14">
      <c r="A7" s="5" t="s">
        <v>735</v>
      </c>
      <c r="B7" s="10" t="str">
        <f t="shared" si="0"/>
        <v>AP1</v>
      </c>
      <c r="C7" s="5">
        <v>10</v>
      </c>
      <c r="D7" s="5">
        <v>0</v>
      </c>
      <c r="E7" s="5">
        <v>0</v>
      </c>
      <c r="F7" s="5">
        <v>75</v>
      </c>
      <c r="G7" s="5"/>
      <c r="H7" s="5">
        <v>2</v>
      </c>
      <c r="I7" s="5">
        <v>1</v>
      </c>
      <c r="J7" s="5"/>
      <c r="K7" s="5">
        <v>235</v>
      </c>
      <c r="L7" s="5"/>
      <c r="M7" s="5">
        <v>9999</v>
      </c>
      <c r="N7" s="5"/>
    </row>
    <row r="8" spans="1:14">
      <c r="A8" s="5" t="s">
        <v>736</v>
      </c>
      <c r="B8" s="10" t="s">
        <v>10</v>
      </c>
      <c r="C8" s="5">
        <v>20</v>
      </c>
      <c r="D8" s="5">
        <v>-1</v>
      </c>
      <c r="E8" s="5">
        <v>0</v>
      </c>
      <c r="F8" s="5">
        <v>75</v>
      </c>
      <c r="G8" s="5"/>
      <c r="H8" s="5">
        <v>0</v>
      </c>
      <c r="I8" s="5">
        <v>1</v>
      </c>
      <c r="J8" s="5"/>
      <c r="K8" s="5">
        <v>-1</v>
      </c>
      <c r="L8" s="5"/>
      <c r="M8" s="5">
        <v>-1</v>
      </c>
      <c r="N8" s="5"/>
    </row>
    <row r="9" spans="1:14">
      <c r="A9" s="8" t="s">
        <v>737</v>
      </c>
      <c r="B9" s="7" t="s">
        <v>25</v>
      </c>
      <c r="C9" s="8">
        <v>10</v>
      </c>
      <c r="D9" s="7">
        <v>0</v>
      </c>
      <c r="E9" s="7"/>
      <c r="F9" s="7">
        <v>150</v>
      </c>
      <c r="G9" s="13"/>
      <c r="H9" s="7">
        <v>1</v>
      </c>
      <c r="I9" s="7">
        <v>2</v>
      </c>
      <c r="J9" s="7"/>
      <c r="K9" s="7">
        <v>223</v>
      </c>
      <c r="L9" s="7"/>
      <c r="M9" s="7">
        <v>194</v>
      </c>
      <c r="N9" s="7"/>
    </row>
    <row r="10" spans="1:14">
      <c r="A10" s="8" t="s">
        <v>738</v>
      </c>
      <c r="B10" s="7" t="str">
        <f t="shared" ref="B10:B17" si="2">B9</f>
        <v>AP2</v>
      </c>
      <c r="C10" s="8">
        <v>40</v>
      </c>
      <c r="D10" s="7">
        <v>0</v>
      </c>
      <c r="E10" s="7"/>
      <c r="F10" s="7">
        <v>150</v>
      </c>
      <c r="G10" s="8"/>
      <c r="H10" s="7">
        <v>1</v>
      </c>
      <c r="I10" s="7">
        <v>2</v>
      </c>
      <c r="J10" s="7"/>
      <c r="K10" s="7">
        <v>76</v>
      </c>
      <c r="L10" s="7"/>
      <c r="M10" s="7">
        <v>52</v>
      </c>
      <c r="N10" s="7"/>
    </row>
    <row r="11" spans="1:14">
      <c r="A11" s="8" t="s">
        <v>739</v>
      </c>
      <c r="B11" s="7" t="str">
        <f t="shared" si="2"/>
        <v>AP2</v>
      </c>
      <c r="C11" s="8">
        <v>10</v>
      </c>
      <c r="D11" s="7">
        <v>0</v>
      </c>
      <c r="E11" s="7"/>
      <c r="F11" s="7">
        <v>75</v>
      </c>
      <c r="G11" s="8"/>
      <c r="H11" s="7">
        <v>1</v>
      </c>
      <c r="I11" s="7">
        <v>2</v>
      </c>
      <c r="J11" s="7"/>
      <c r="K11" s="7">
        <v>236</v>
      </c>
      <c r="L11" s="7"/>
      <c r="M11" s="7">
        <v>9999</v>
      </c>
      <c r="N11" s="7"/>
    </row>
    <row r="12" spans="1:14">
      <c r="A12" s="8" t="s">
        <v>740</v>
      </c>
      <c r="B12" s="7" t="str">
        <f t="shared" si="2"/>
        <v>AP2</v>
      </c>
      <c r="C12" s="8">
        <v>40</v>
      </c>
      <c r="D12" s="7">
        <v>0</v>
      </c>
      <c r="E12" s="7"/>
      <c r="F12" s="7">
        <v>75</v>
      </c>
      <c r="G12" s="8"/>
      <c r="H12" s="7">
        <v>1</v>
      </c>
      <c r="I12" s="7">
        <v>2</v>
      </c>
      <c r="J12" s="7"/>
      <c r="K12" s="7">
        <v>76</v>
      </c>
      <c r="L12" s="7"/>
      <c r="M12" s="7">
        <v>48</v>
      </c>
      <c r="N12" s="7"/>
    </row>
    <row r="13" spans="1:14">
      <c r="A13" s="7" t="s">
        <v>741</v>
      </c>
      <c r="B13" s="7" t="str">
        <f t="shared" si="2"/>
        <v>AP2</v>
      </c>
      <c r="C13" s="7">
        <v>10</v>
      </c>
      <c r="D13" s="7">
        <v>1</v>
      </c>
      <c r="E13" s="7"/>
      <c r="F13" s="7">
        <v>250</v>
      </c>
      <c r="G13" s="7"/>
      <c r="H13" s="7">
        <v>1</v>
      </c>
      <c r="I13" s="7">
        <v>2</v>
      </c>
      <c r="J13" s="7"/>
      <c r="K13" s="7">
        <v>236</v>
      </c>
      <c r="L13" s="7"/>
      <c r="M13" s="7">
        <v>183</v>
      </c>
      <c r="N13" s="7"/>
    </row>
    <row r="14" spans="1:14">
      <c r="A14" s="7" t="s">
        <v>742</v>
      </c>
      <c r="B14" s="7" t="str">
        <f t="shared" si="2"/>
        <v>AP2</v>
      </c>
      <c r="C14" s="7">
        <v>40</v>
      </c>
      <c r="D14" s="7">
        <v>1</v>
      </c>
      <c r="E14" s="7"/>
      <c r="F14" s="7">
        <v>250</v>
      </c>
      <c r="G14" s="7"/>
      <c r="H14" s="7">
        <v>1</v>
      </c>
      <c r="I14" s="7">
        <v>2</v>
      </c>
      <c r="J14" s="7"/>
      <c r="K14" s="7">
        <v>76</v>
      </c>
      <c r="L14" s="7"/>
      <c r="M14" s="7">
        <v>34</v>
      </c>
      <c r="N14" s="7"/>
    </row>
    <row r="15" spans="1:14">
      <c r="A15" s="7" t="s">
        <v>743</v>
      </c>
      <c r="B15" s="7" t="str">
        <f t="shared" si="2"/>
        <v>AP2</v>
      </c>
      <c r="C15" s="7">
        <v>10</v>
      </c>
      <c r="D15" s="7">
        <v>0</v>
      </c>
      <c r="E15" s="7"/>
      <c r="F15" s="7">
        <v>150</v>
      </c>
      <c r="G15" s="7"/>
      <c r="H15" s="7">
        <v>1</v>
      </c>
      <c r="I15" s="7">
        <v>2</v>
      </c>
      <c r="J15" s="7"/>
      <c r="K15" s="7">
        <v>236</v>
      </c>
      <c r="L15" s="7"/>
      <c r="M15" s="7">
        <v>233</v>
      </c>
      <c r="N15" s="7"/>
    </row>
    <row r="16" spans="1:14">
      <c r="A16" s="7" t="s">
        <v>744</v>
      </c>
      <c r="B16" s="7" t="str">
        <f t="shared" si="2"/>
        <v>AP2</v>
      </c>
      <c r="C16" s="7">
        <v>40</v>
      </c>
      <c r="D16" s="7">
        <v>1</v>
      </c>
      <c r="E16" s="7"/>
      <c r="F16" s="7">
        <v>150</v>
      </c>
      <c r="G16" s="7"/>
      <c r="H16" s="7">
        <v>1</v>
      </c>
      <c r="I16" s="7">
        <v>2</v>
      </c>
      <c r="J16" s="7"/>
      <c r="K16" s="7">
        <v>76</v>
      </c>
      <c r="L16" s="7"/>
      <c r="M16" s="7">
        <v>47</v>
      </c>
      <c r="N16" s="7"/>
    </row>
    <row r="17" spans="1:14">
      <c r="A17" s="7" t="s">
        <v>745</v>
      </c>
      <c r="B17" s="7" t="str">
        <f t="shared" si="2"/>
        <v>AP2</v>
      </c>
      <c r="C17" s="7">
        <v>40</v>
      </c>
      <c r="D17" s="7">
        <v>-1</v>
      </c>
      <c r="E17" s="7">
        <v>0</v>
      </c>
      <c r="F17" s="7">
        <v>150</v>
      </c>
      <c r="G17" s="7"/>
      <c r="H17" s="7">
        <v>0</v>
      </c>
      <c r="I17" s="7">
        <v>2</v>
      </c>
      <c r="J17" s="7"/>
      <c r="K17" s="7">
        <v>-1</v>
      </c>
      <c r="L17" s="7"/>
      <c r="M17" s="7">
        <v>-1</v>
      </c>
      <c r="N17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9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746</v>
      </c>
      <c r="B2" s="10" t="s">
        <v>68</v>
      </c>
      <c r="C2" s="10">
        <v>20</v>
      </c>
      <c r="D2" s="5">
        <v>1</v>
      </c>
      <c r="E2" s="5"/>
      <c r="F2" s="5">
        <v>150</v>
      </c>
      <c r="G2" s="9"/>
      <c r="H2" s="5">
        <v>1</v>
      </c>
      <c r="I2" s="5">
        <v>1</v>
      </c>
      <c r="J2" s="5"/>
      <c r="K2" s="5">
        <v>108</v>
      </c>
      <c r="L2" s="5"/>
      <c r="M2" s="5">
        <v>82</v>
      </c>
    </row>
    <row r="3" spans="1:13">
      <c r="A3" s="9" t="s">
        <v>747</v>
      </c>
      <c r="B3" s="10" t="str">
        <f>B2</f>
        <v>M1</v>
      </c>
      <c r="C3" s="9">
        <v>40</v>
      </c>
      <c r="D3" s="10">
        <v>1</v>
      </c>
      <c r="E3" s="10"/>
      <c r="F3" s="5">
        <f>F2</f>
        <v>150</v>
      </c>
      <c r="G3" s="5"/>
      <c r="H3" s="5">
        <v>1</v>
      </c>
      <c r="I3" s="5">
        <v>1</v>
      </c>
      <c r="J3" s="5"/>
      <c r="K3" s="5">
        <v>77</v>
      </c>
      <c r="L3" s="5"/>
      <c r="M3" s="5">
        <v>33</v>
      </c>
    </row>
    <row r="4" spans="1:13">
      <c r="A4" s="9" t="s">
        <v>748</v>
      </c>
      <c r="B4" s="10" t="str">
        <f t="shared" ref="B4:B8" si="0">B3</f>
        <v>M1</v>
      </c>
      <c r="C4" s="10">
        <v>10</v>
      </c>
      <c r="D4" s="10">
        <v>1</v>
      </c>
      <c r="E4" s="10"/>
      <c r="F4" s="5">
        <f t="shared" ref="F4:F8" si="1">F3</f>
        <v>150</v>
      </c>
      <c r="G4" s="5"/>
      <c r="H4" s="5">
        <v>1</v>
      </c>
      <c r="I4" s="5">
        <v>1</v>
      </c>
      <c r="J4" s="5"/>
      <c r="K4" s="5">
        <v>236</v>
      </c>
      <c r="L4" s="5"/>
      <c r="M4" s="5">
        <v>192</v>
      </c>
    </row>
    <row r="5" spans="1:13">
      <c r="A5" s="5" t="s">
        <v>749</v>
      </c>
      <c r="B5" s="10" t="str">
        <f t="shared" si="0"/>
        <v>M1</v>
      </c>
      <c r="C5" s="5">
        <v>5</v>
      </c>
      <c r="D5" s="5">
        <v>0</v>
      </c>
      <c r="E5" s="5"/>
      <c r="F5" s="5">
        <f t="shared" si="1"/>
        <v>150</v>
      </c>
      <c r="G5" s="5"/>
      <c r="H5" s="5">
        <v>1</v>
      </c>
      <c r="I5" s="5">
        <v>1</v>
      </c>
      <c r="J5" s="5"/>
      <c r="K5" s="5">
        <v>429</v>
      </c>
      <c r="L5" s="5"/>
      <c r="M5" s="5">
        <v>406</v>
      </c>
    </row>
    <row r="6" spans="1:13">
      <c r="A6" s="5" t="s">
        <v>750</v>
      </c>
      <c r="B6" s="10" t="str">
        <f t="shared" si="0"/>
        <v>M1</v>
      </c>
      <c r="C6" s="5">
        <v>30</v>
      </c>
      <c r="D6" s="5">
        <v>1</v>
      </c>
      <c r="E6" s="5"/>
      <c r="F6" s="5">
        <f t="shared" si="1"/>
        <v>150</v>
      </c>
      <c r="G6" s="5"/>
      <c r="H6" s="5">
        <v>1</v>
      </c>
      <c r="I6" s="5">
        <v>1</v>
      </c>
      <c r="J6" s="5"/>
      <c r="K6" s="5">
        <v>77</v>
      </c>
      <c r="L6" s="5"/>
      <c r="M6" s="5">
        <v>54</v>
      </c>
    </row>
    <row r="7" spans="1:13">
      <c r="A7" s="5" t="s">
        <v>751</v>
      </c>
      <c r="B7" s="10" t="str">
        <f t="shared" si="0"/>
        <v>M1</v>
      </c>
      <c r="C7" s="5">
        <v>20</v>
      </c>
      <c r="D7" s="5">
        <v>1</v>
      </c>
      <c r="E7" s="5"/>
      <c r="F7" s="5">
        <f t="shared" si="1"/>
        <v>150</v>
      </c>
      <c r="G7" s="5"/>
      <c r="H7" s="5">
        <v>2</v>
      </c>
      <c r="I7" s="5">
        <v>1</v>
      </c>
      <c r="J7" s="5"/>
      <c r="K7" s="5">
        <v>108</v>
      </c>
      <c r="L7" s="5"/>
      <c r="M7" s="5">
        <v>90</v>
      </c>
    </row>
    <row r="8" spans="1:13">
      <c r="A8" s="5" t="s">
        <v>752</v>
      </c>
      <c r="B8" s="10" t="str">
        <f t="shared" si="0"/>
        <v>M1</v>
      </c>
      <c r="C8" s="5">
        <v>20</v>
      </c>
      <c r="D8" s="5">
        <v>0</v>
      </c>
      <c r="E8" s="5">
        <v>-1</v>
      </c>
      <c r="F8" s="5">
        <f t="shared" si="1"/>
        <v>150</v>
      </c>
      <c r="G8" s="5"/>
      <c r="H8" s="5">
        <v>0</v>
      </c>
      <c r="I8" s="5">
        <v>1</v>
      </c>
      <c r="J8" s="5"/>
      <c r="K8" s="5">
        <v>-1</v>
      </c>
      <c r="L8" s="5"/>
      <c r="M8" s="5">
        <v>-1</v>
      </c>
    </row>
    <row r="9" spans="1:13">
      <c r="A9" s="8" t="s">
        <v>753</v>
      </c>
      <c r="B9" s="7" t="s">
        <v>10</v>
      </c>
      <c r="C9" s="8">
        <v>40</v>
      </c>
      <c r="D9" s="7">
        <v>1</v>
      </c>
      <c r="E9" s="7"/>
      <c r="F9" s="7">
        <v>75</v>
      </c>
      <c r="G9" s="8"/>
      <c r="H9" s="7">
        <v>1</v>
      </c>
      <c r="I9" s="7">
        <v>2</v>
      </c>
      <c r="J9" s="7"/>
      <c r="K9" s="7">
        <v>77</v>
      </c>
      <c r="L9" s="7"/>
      <c r="M9" s="7">
        <v>55</v>
      </c>
    </row>
    <row r="10" spans="1:13">
      <c r="A10" s="8" t="s">
        <v>754</v>
      </c>
      <c r="B10" s="7" t="str">
        <f>B9</f>
        <v>AP1</v>
      </c>
      <c r="C10" s="8">
        <v>5</v>
      </c>
      <c r="D10" s="7">
        <v>0</v>
      </c>
      <c r="E10" s="7">
        <v>0</v>
      </c>
      <c r="F10" s="7">
        <f>F9</f>
        <v>75</v>
      </c>
      <c r="G10" s="8"/>
      <c r="H10" s="7">
        <v>1</v>
      </c>
      <c r="I10" s="7">
        <v>2</v>
      </c>
      <c r="J10" s="7"/>
      <c r="K10" s="7">
        <v>428</v>
      </c>
      <c r="L10" s="7"/>
      <c r="M10" s="7">
        <v>9999</v>
      </c>
    </row>
    <row r="11" spans="1:13">
      <c r="A11" s="8" t="s">
        <v>755</v>
      </c>
      <c r="B11" s="7" t="str">
        <f t="shared" ref="B11:B16" si="2">B10</f>
        <v>AP1</v>
      </c>
      <c r="C11" s="8">
        <v>10</v>
      </c>
      <c r="D11" s="7">
        <v>0</v>
      </c>
      <c r="E11" s="7"/>
      <c r="F11" s="7">
        <f t="shared" ref="F11:F16" si="3">F10</f>
        <v>75</v>
      </c>
      <c r="G11" s="7"/>
      <c r="H11" s="7">
        <v>1</v>
      </c>
      <c r="I11" s="7">
        <v>2</v>
      </c>
      <c r="J11" s="7"/>
      <c r="K11" s="7">
        <v>236</v>
      </c>
      <c r="L11" s="7"/>
      <c r="M11" s="7">
        <v>211</v>
      </c>
    </row>
    <row r="12" spans="1:13">
      <c r="A12" s="8" t="s">
        <v>756</v>
      </c>
      <c r="B12" s="7" t="str">
        <f t="shared" si="2"/>
        <v>AP1</v>
      </c>
      <c r="C12" s="8">
        <v>20</v>
      </c>
      <c r="D12" s="7">
        <v>1</v>
      </c>
      <c r="E12" s="7"/>
      <c r="F12" s="7">
        <f t="shared" si="3"/>
        <v>75</v>
      </c>
      <c r="G12" s="8"/>
      <c r="H12" s="7">
        <v>1</v>
      </c>
      <c r="I12" s="7">
        <v>2</v>
      </c>
      <c r="J12" s="7"/>
      <c r="K12" s="7">
        <v>109</v>
      </c>
      <c r="L12" s="7"/>
      <c r="M12" s="7">
        <v>102</v>
      </c>
    </row>
    <row r="13" spans="1:13">
      <c r="A13" s="8" t="s">
        <v>757</v>
      </c>
      <c r="B13" s="7" t="str">
        <f t="shared" si="2"/>
        <v>AP1</v>
      </c>
      <c r="C13" s="8">
        <v>30</v>
      </c>
      <c r="D13" s="7">
        <v>1</v>
      </c>
      <c r="E13" s="7"/>
      <c r="F13" s="7">
        <f t="shared" si="3"/>
        <v>75</v>
      </c>
      <c r="G13" s="8"/>
      <c r="H13" s="7">
        <v>1</v>
      </c>
      <c r="I13" s="7">
        <v>2</v>
      </c>
      <c r="J13" s="7"/>
      <c r="K13" s="7">
        <v>77</v>
      </c>
      <c r="L13" s="7"/>
      <c r="M13" s="7">
        <v>66</v>
      </c>
    </row>
    <row r="14" spans="1:13">
      <c r="A14" s="8" t="s">
        <v>758</v>
      </c>
      <c r="B14" s="7" t="str">
        <f t="shared" si="2"/>
        <v>AP1</v>
      </c>
      <c r="C14" s="8">
        <v>40</v>
      </c>
      <c r="D14" s="7">
        <v>1</v>
      </c>
      <c r="E14" s="7"/>
      <c r="F14" s="7">
        <f t="shared" si="3"/>
        <v>75</v>
      </c>
      <c r="G14" s="8"/>
      <c r="H14" s="7">
        <v>2</v>
      </c>
      <c r="I14" s="7">
        <v>2</v>
      </c>
      <c r="J14" s="7"/>
      <c r="K14" s="7">
        <v>77</v>
      </c>
      <c r="L14" s="7"/>
      <c r="M14" s="7">
        <v>54</v>
      </c>
    </row>
    <row r="15" spans="1:13">
      <c r="A15" s="8" t="s">
        <v>759</v>
      </c>
      <c r="B15" s="7" t="str">
        <f t="shared" si="2"/>
        <v>AP1</v>
      </c>
      <c r="C15" s="8">
        <v>100</v>
      </c>
      <c r="D15" s="7">
        <v>1</v>
      </c>
      <c r="E15" s="7"/>
      <c r="F15" s="7">
        <f t="shared" si="3"/>
        <v>75</v>
      </c>
      <c r="G15" s="8"/>
      <c r="H15" s="7">
        <v>0</v>
      </c>
      <c r="I15" s="7">
        <v>2</v>
      </c>
      <c r="J15" s="7"/>
      <c r="K15" s="7">
        <v>44</v>
      </c>
      <c r="L15" s="7"/>
      <c r="M15" s="7">
        <v>28</v>
      </c>
    </row>
    <row r="16" spans="1:13">
      <c r="A16" s="7" t="s">
        <v>760</v>
      </c>
      <c r="B16" s="7" t="str">
        <f t="shared" si="2"/>
        <v>AP1</v>
      </c>
      <c r="C16" s="8">
        <v>20</v>
      </c>
      <c r="D16" s="7">
        <v>-1</v>
      </c>
      <c r="E16" s="7">
        <v>0</v>
      </c>
      <c r="F16" s="7">
        <f t="shared" si="3"/>
        <v>75</v>
      </c>
      <c r="G16" s="8"/>
      <c r="H16" s="7">
        <v>0</v>
      </c>
      <c r="I16" s="7">
        <v>2</v>
      </c>
      <c r="J16" s="7"/>
      <c r="K16" s="7">
        <v>-1</v>
      </c>
      <c r="L16" s="7"/>
      <c r="M16" s="7">
        <v>-1</v>
      </c>
    </row>
    <row r="17" spans="1:13">
      <c r="A17" s="5" t="s">
        <v>761</v>
      </c>
      <c r="B17" s="4" t="s">
        <v>25</v>
      </c>
      <c r="C17" s="5">
        <v>10</v>
      </c>
      <c r="D17" s="5">
        <v>1</v>
      </c>
      <c r="E17" s="5"/>
      <c r="F17" s="4">
        <v>250</v>
      </c>
      <c r="G17" s="5"/>
      <c r="H17" s="5">
        <v>1</v>
      </c>
      <c r="I17" s="5">
        <v>3</v>
      </c>
      <c r="J17" s="5"/>
      <c r="K17" s="5">
        <v>236</v>
      </c>
      <c r="L17" s="5"/>
      <c r="M17" s="5">
        <v>188</v>
      </c>
    </row>
    <row r="18" spans="1:13">
      <c r="A18" s="5" t="s">
        <v>762</v>
      </c>
      <c r="B18" s="4" t="str">
        <f>B17</f>
        <v>AP2</v>
      </c>
      <c r="C18" s="5">
        <v>5</v>
      </c>
      <c r="D18" s="5">
        <v>1</v>
      </c>
      <c r="E18" s="5"/>
      <c r="F18" s="4">
        <f>F17</f>
        <v>250</v>
      </c>
      <c r="G18" s="5"/>
      <c r="H18" s="5">
        <v>1</v>
      </c>
      <c r="I18" s="5">
        <v>3</v>
      </c>
      <c r="J18" s="5"/>
      <c r="K18" s="5">
        <v>428</v>
      </c>
      <c r="L18" s="5"/>
      <c r="M18" s="5">
        <v>362</v>
      </c>
    </row>
    <row r="19" spans="1:13">
      <c r="A19" s="5" t="s">
        <v>763</v>
      </c>
      <c r="B19" s="4" t="str">
        <f t="shared" ref="B19:B23" si="4">B18</f>
        <v>AP2</v>
      </c>
      <c r="C19" s="5">
        <v>20</v>
      </c>
      <c r="D19" s="5">
        <v>1</v>
      </c>
      <c r="E19" s="5"/>
      <c r="F19" s="4">
        <f t="shared" ref="F19:F23" si="5">F18</f>
        <v>250</v>
      </c>
      <c r="G19" s="5"/>
      <c r="H19" s="5">
        <v>1</v>
      </c>
      <c r="I19" s="5">
        <v>3</v>
      </c>
      <c r="J19" s="5"/>
      <c r="K19" s="5">
        <v>108</v>
      </c>
      <c r="L19" s="5"/>
      <c r="M19" s="5">
        <v>82</v>
      </c>
    </row>
    <row r="20" spans="1:13">
      <c r="A20" s="5" t="s">
        <v>764</v>
      </c>
      <c r="B20" s="4" t="str">
        <f t="shared" si="4"/>
        <v>AP2</v>
      </c>
      <c r="C20" s="5">
        <v>40</v>
      </c>
      <c r="D20" s="5">
        <v>1</v>
      </c>
      <c r="E20" s="5"/>
      <c r="F20" s="4">
        <f t="shared" si="5"/>
        <v>250</v>
      </c>
      <c r="G20" s="5"/>
      <c r="H20" s="5">
        <v>1</v>
      </c>
      <c r="I20" s="5">
        <v>3</v>
      </c>
      <c r="J20" s="5"/>
      <c r="K20" s="5">
        <v>77</v>
      </c>
      <c r="L20" s="5"/>
      <c r="M20" s="5">
        <v>45</v>
      </c>
    </row>
    <row r="21" spans="1:13">
      <c r="A21" s="5" t="s">
        <v>765</v>
      </c>
      <c r="B21" s="4" t="str">
        <f t="shared" si="4"/>
        <v>AP2</v>
      </c>
      <c r="C21" s="5">
        <v>30</v>
      </c>
      <c r="D21" s="5">
        <v>1</v>
      </c>
      <c r="E21" s="5"/>
      <c r="F21" s="4">
        <f t="shared" si="5"/>
        <v>250</v>
      </c>
      <c r="G21" s="11"/>
      <c r="H21" s="5">
        <v>1</v>
      </c>
      <c r="I21" s="5">
        <v>3</v>
      </c>
      <c r="J21" s="5"/>
      <c r="K21" s="5">
        <v>77</v>
      </c>
      <c r="L21" s="5"/>
      <c r="M21" s="5">
        <v>60</v>
      </c>
    </row>
    <row r="22" spans="1:13">
      <c r="A22" s="5" t="s">
        <v>766</v>
      </c>
      <c r="B22" s="4" t="str">
        <f t="shared" si="4"/>
        <v>AP2</v>
      </c>
      <c r="C22" s="5">
        <v>10</v>
      </c>
      <c r="D22" s="5">
        <v>1</v>
      </c>
      <c r="E22" s="5"/>
      <c r="F22" s="4">
        <f t="shared" si="5"/>
        <v>250</v>
      </c>
      <c r="G22" s="11"/>
      <c r="H22" s="5">
        <v>2</v>
      </c>
      <c r="I22" s="5">
        <v>3</v>
      </c>
      <c r="J22" s="5"/>
      <c r="K22" s="5">
        <v>236</v>
      </c>
      <c r="L22" s="5"/>
      <c r="M22" s="5">
        <v>188</v>
      </c>
    </row>
    <row r="23" spans="1:13">
      <c r="A23" s="5" t="s">
        <v>767</v>
      </c>
      <c r="B23" s="4" t="str">
        <f t="shared" si="4"/>
        <v>AP2</v>
      </c>
      <c r="C23" s="5">
        <v>20</v>
      </c>
      <c r="D23" s="5">
        <v>-1</v>
      </c>
      <c r="E23" s="5">
        <v>0</v>
      </c>
      <c r="F23" s="4">
        <f t="shared" si="5"/>
        <v>250</v>
      </c>
      <c r="G23" s="11"/>
      <c r="H23" s="5">
        <v>0</v>
      </c>
      <c r="I23" s="5">
        <v>3</v>
      </c>
      <c r="J23" s="5"/>
      <c r="K23" s="5">
        <v>-1</v>
      </c>
      <c r="L23" s="5"/>
      <c r="M23" s="5">
        <v>-1</v>
      </c>
    </row>
    <row r="24" spans="1:13">
      <c r="A24" s="7" t="s">
        <v>768</v>
      </c>
      <c r="B24" s="7" t="s">
        <v>93</v>
      </c>
      <c r="C24" s="7">
        <v>5</v>
      </c>
      <c r="D24" s="7">
        <v>0</v>
      </c>
      <c r="E24" s="7">
        <v>0</v>
      </c>
      <c r="F24" s="7">
        <v>75</v>
      </c>
      <c r="G24" s="7"/>
      <c r="H24" s="7">
        <v>1</v>
      </c>
      <c r="I24" s="7">
        <v>4</v>
      </c>
      <c r="J24" s="7"/>
      <c r="K24" s="7">
        <v>428</v>
      </c>
      <c r="L24" s="7"/>
      <c r="M24" s="7">
        <v>9999</v>
      </c>
    </row>
    <row r="25" spans="1:13">
      <c r="A25" s="7" t="s">
        <v>769</v>
      </c>
      <c r="B25" s="7" t="str">
        <f>B24</f>
        <v>AP3</v>
      </c>
      <c r="C25" s="7">
        <v>40</v>
      </c>
      <c r="D25" s="7">
        <v>0</v>
      </c>
      <c r="E25" s="7">
        <v>0</v>
      </c>
      <c r="F25" s="7">
        <f>F24</f>
        <v>75</v>
      </c>
      <c r="G25" s="7"/>
      <c r="H25" s="7">
        <v>1</v>
      </c>
      <c r="I25" s="7">
        <v>4</v>
      </c>
      <c r="J25" s="7"/>
      <c r="K25" s="7">
        <v>76</v>
      </c>
      <c r="L25" s="7"/>
      <c r="M25" s="7">
        <v>9999</v>
      </c>
    </row>
    <row r="26" spans="1:13">
      <c r="A26" s="7" t="s">
        <v>770</v>
      </c>
      <c r="B26" s="7" t="str">
        <f t="shared" ref="B26:B29" si="6">B25</f>
        <v>AP3</v>
      </c>
      <c r="C26" s="7">
        <v>20</v>
      </c>
      <c r="D26" s="7">
        <v>0</v>
      </c>
      <c r="E26" s="7">
        <v>0</v>
      </c>
      <c r="F26" s="7">
        <f t="shared" ref="F26:F29" si="7">F25</f>
        <v>75</v>
      </c>
      <c r="G26" s="7"/>
      <c r="H26" s="7">
        <v>1</v>
      </c>
      <c r="I26" s="7">
        <v>4</v>
      </c>
      <c r="J26" s="7"/>
      <c r="K26" s="7">
        <v>108</v>
      </c>
      <c r="L26" s="7"/>
      <c r="M26" s="7">
        <v>9999</v>
      </c>
    </row>
    <row r="27" spans="1:13">
      <c r="A27" s="7" t="s">
        <v>771</v>
      </c>
      <c r="B27" s="7" t="str">
        <f t="shared" si="6"/>
        <v>AP3</v>
      </c>
      <c r="C27" s="7">
        <v>10</v>
      </c>
      <c r="D27" s="7">
        <v>0</v>
      </c>
      <c r="E27" s="7">
        <v>0</v>
      </c>
      <c r="F27" s="7">
        <f t="shared" si="7"/>
        <v>75</v>
      </c>
      <c r="G27" s="7"/>
      <c r="H27" s="7">
        <v>1</v>
      </c>
      <c r="I27" s="7">
        <v>4</v>
      </c>
      <c r="J27" s="7"/>
      <c r="K27" s="7">
        <v>236</v>
      </c>
      <c r="L27" s="7"/>
      <c r="M27" s="7">
        <v>9999</v>
      </c>
    </row>
    <row r="28" spans="1:13">
      <c r="A28" s="7" t="s">
        <v>772</v>
      </c>
      <c r="B28" s="7" t="str">
        <f t="shared" si="6"/>
        <v>AP3</v>
      </c>
      <c r="C28" s="7">
        <v>30</v>
      </c>
      <c r="D28" s="7">
        <v>0</v>
      </c>
      <c r="E28" s="7">
        <v>0</v>
      </c>
      <c r="F28" s="7">
        <f t="shared" si="7"/>
        <v>75</v>
      </c>
      <c r="G28" s="7"/>
      <c r="H28" s="7">
        <v>1</v>
      </c>
      <c r="I28" s="7">
        <v>4</v>
      </c>
      <c r="J28" s="7"/>
      <c r="K28" s="7">
        <v>76</v>
      </c>
      <c r="L28" s="7"/>
      <c r="M28" s="7">
        <v>9999</v>
      </c>
    </row>
    <row r="29" spans="1:13">
      <c r="A29" s="7" t="s">
        <v>773</v>
      </c>
      <c r="B29" s="7" t="str">
        <f t="shared" si="6"/>
        <v>AP3</v>
      </c>
      <c r="C29" s="7">
        <v>5</v>
      </c>
      <c r="D29" s="7">
        <v>0</v>
      </c>
      <c r="E29" s="7">
        <v>0</v>
      </c>
      <c r="F29" s="7">
        <f t="shared" si="7"/>
        <v>75</v>
      </c>
      <c r="G29" s="7"/>
      <c r="H29" s="7">
        <v>2</v>
      </c>
      <c r="I29" s="7">
        <v>4</v>
      </c>
      <c r="J29" s="7"/>
      <c r="K29" s="7">
        <v>428</v>
      </c>
      <c r="L29" s="7"/>
      <c r="M29" s="7">
        <v>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8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N1" s="1" t="s">
        <v>774</v>
      </c>
    </row>
    <row r="2" spans="1:14">
      <c r="A2" s="8" t="s">
        <v>775</v>
      </c>
      <c r="B2" s="7" t="s">
        <v>10</v>
      </c>
      <c r="C2" s="8">
        <v>10</v>
      </c>
      <c r="D2" s="7">
        <v>0</v>
      </c>
      <c r="E2" s="7">
        <v>1</v>
      </c>
      <c r="F2" s="7">
        <v>150</v>
      </c>
      <c r="G2" s="8"/>
      <c r="H2" s="7">
        <v>1</v>
      </c>
      <c r="I2" s="7">
        <v>1</v>
      </c>
      <c r="J2" s="7"/>
      <c r="K2" s="7">
        <v>236</v>
      </c>
      <c r="L2" s="7"/>
      <c r="M2" s="7">
        <v>201</v>
      </c>
    </row>
    <row r="3" spans="1:14">
      <c r="A3" s="8" t="s">
        <v>776</v>
      </c>
      <c r="B3" s="7" t="str">
        <f>B2</f>
        <v>AP1</v>
      </c>
      <c r="C3" s="8">
        <v>40</v>
      </c>
      <c r="D3" s="7">
        <v>0</v>
      </c>
      <c r="E3" s="7">
        <v>1</v>
      </c>
      <c r="F3" s="7">
        <v>150</v>
      </c>
      <c r="G3" s="8"/>
      <c r="H3" s="7">
        <v>1</v>
      </c>
      <c r="I3" s="7">
        <v>1</v>
      </c>
      <c r="J3" s="7"/>
      <c r="K3" s="7">
        <v>77</v>
      </c>
      <c r="L3" s="7"/>
      <c r="M3" s="7">
        <v>56</v>
      </c>
    </row>
    <row r="4" spans="1:14">
      <c r="A4" s="8" t="s">
        <v>777</v>
      </c>
      <c r="B4" s="7" t="str">
        <f t="shared" ref="B4:B10" si="0">B3</f>
        <v>AP1</v>
      </c>
      <c r="C4" s="8">
        <v>10</v>
      </c>
      <c r="D4" s="7">
        <v>1</v>
      </c>
      <c r="E4" s="7"/>
      <c r="F4" s="7">
        <v>250</v>
      </c>
      <c r="G4" s="13"/>
      <c r="H4" s="7">
        <v>1</v>
      </c>
      <c r="I4" s="7">
        <v>1</v>
      </c>
      <c r="J4" s="7"/>
      <c r="K4" s="7">
        <v>236</v>
      </c>
      <c r="L4" s="7"/>
      <c r="M4" s="7">
        <v>188</v>
      </c>
    </row>
    <row r="5" spans="1:14">
      <c r="A5" s="8" t="s">
        <v>778</v>
      </c>
      <c r="B5" s="7" t="str">
        <f t="shared" si="0"/>
        <v>AP1</v>
      </c>
      <c r="C5" s="8">
        <v>40</v>
      </c>
      <c r="D5" s="7">
        <v>1</v>
      </c>
      <c r="E5" s="7"/>
      <c r="F5" s="7">
        <v>250</v>
      </c>
      <c r="G5" s="8"/>
      <c r="H5" s="7">
        <v>1</v>
      </c>
      <c r="I5" s="7">
        <v>1</v>
      </c>
      <c r="J5" s="7"/>
      <c r="K5" s="7">
        <v>77</v>
      </c>
      <c r="L5" s="7"/>
      <c r="M5" s="7">
        <v>46</v>
      </c>
    </row>
    <row r="6" spans="1:14">
      <c r="A6" s="8" t="s">
        <v>779</v>
      </c>
      <c r="B6" s="7" t="str">
        <f t="shared" si="0"/>
        <v>AP1</v>
      </c>
      <c r="C6" s="8">
        <v>10</v>
      </c>
      <c r="D6" s="7">
        <v>0</v>
      </c>
      <c r="E6" s="7"/>
      <c r="F6" s="7">
        <v>75</v>
      </c>
      <c r="G6" s="8"/>
      <c r="H6" s="7">
        <v>1</v>
      </c>
      <c r="I6" s="7">
        <v>1</v>
      </c>
      <c r="J6" s="7"/>
      <c r="K6" s="7">
        <v>236</v>
      </c>
      <c r="L6" s="7"/>
      <c r="M6" s="7">
        <v>9999</v>
      </c>
    </row>
    <row r="7" spans="1:14">
      <c r="A7" s="8" t="s">
        <v>780</v>
      </c>
      <c r="B7" s="7" t="str">
        <f t="shared" si="0"/>
        <v>AP1</v>
      </c>
      <c r="C7" s="8">
        <v>40</v>
      </c>
      <c r="D7" s="7">
        <v>0</v>
      </c>
      <c r="E7" s="7"/>
      <c r="F7" s="7">
        <v>75</v>
      </c>
      <c r="G7" s="8"/>
      <c r="H7" s="7">
        <v>1</v>
      </c>
      <c r="I7" s="7">
        <v>1</v>
      </c>
      <c r="J7" s="7"/>
      <c r="K7" s="7">
        <v>77</v>
      </c>
      <c r="L7" s="7"/>
      <c r="M7" s="7">
        <v>376</v>
      </c>
    </row>
    <row r="8" spans="1:14">
      <c r="A8" s="7" t="s">
        <v>781</v>
      </c>
      <c r="B8" s="7" t="str">
        <f t="shared" si="0"/>
        <v>AP1</v>
      </c>
      <c r="C8" s="7">
        <v>10</v>
      </c>
      <c r="D8" s="7">
        <v>0</v>
      </c>
      <c r="E8" s="7"/>
      <c r="F8" s="7">
        <v>150</v>
      </c>
      <c r="G8" s="7"/>
      <c r="H8" s="7">
        <v>1</v>
      </c>
      <c r="I8" s="7">
        <v>1</v>
      </c>
      <c r="J8" s="7"/>
      <c r="K8" s="7">
        <v>236</v>
      </c>
      <c r="L8" s="7"/>
      <c r="M8" s="7">
        <v>9999</v>
      </c>
    </row>
    <row r="9" spans="1:14">
      <c r="A9" s="7" t="s">
        <v>782</v>
      </c>
      <c r="B9" s="7" t="str">
        <f t="shared" si="0"/>
        <v>AP1</v>
      </c>
      <c r="C9" s="7">
        <v>40</v>
      </c>
      <c r="D9" s="7">
        <v>0</v>
      </c>
      <c r="E9" s="7"/>
      <c r="F9" s="7">
        <v>150</v>
      </c>
      <c r="G9" s="7"/>
      <c r="H9" s="7">
        <v>1</v>
      </c>
      <c r="I9" s="7">
        <v>1</v>
      </c>
      <c r="J9" s="7"/>
      <c r="K9" s="7">
        <v>75</v>
      </c>
      <c r="L9" s="7"/>
      <c r="M9" s="7">
        <v>59</v>
      </c>
    </row>
    <row r="10" spans="1:14">
      <c r="A10" s="7" t="s">
        <v>783</v>
      </c>
      <c r="B10" s="7" t="str">
        <f t="shared" si="0"/>
        <v>AP1</v>
      </c>
      <c r="C10" s="7">
        <v>40</v>
      </c>
      <c r="D10" s="7">
        <v>-1</v>
      </c>
      <c r="E10" s="7"/>
      <c r="F10" s="7">
        <v>150</v>
      </c>
      <c r="G10" s="7"/>
      <c r="H10" s="7">
        <v>0</v>
      </c>
      <c r="I10" s="7">
        <v>1</v>
      </c>
      <c r="J10" s="7"/>
      <c r="K10" s="7">
        <v>-1</v>
      </c>
      <c r="L10" s="7"/>
      <c r="M10" s="7">
        <v>-1</v>
      </c>
    </row>
    <row r="11" spans="1:14">
      <c r="A11" s="5" t="s">
        <v>784</v>
      </c>
      <c r="B11" s="5" t="s">
        <v>25</v>
      </c>
      <c r="C11" s="5">
        <v>40</v>
      </c>
      <c r="D11" s="5">
        <v>1</v>
      </c>
      <c r="E11" s="5"/>
      <c r="F11" s="5">
        <v>150</v>
      </c>
      <c r="G11" s="5"/>
      <c r="H11" s="5">
        <v>1</v>
      </c>
      <c r="I11" s="5">
        <v>2</v>
      </c>
      <c r="J11" s="5"/>
      <c r="K11" s="5">
        <v>76</v>
      </c>
      <c r="L11" s="5"/>
      <c r="M11" s="5">
        <v>26</v>
      </c>
    </row>
    <row r="12" spans="1:14">
      <c r="A12" s="5" t="s">
        <v>785</v>
      </c>
      <c r="B12" s="5" t="str">
        <f>B11</f>
        <v>AP2</v>
      </c>
      <c r="C12" s="5">
        <v>20</v>
      </c>
      <c r="D12" s="5">
        <v>1</v>
      </c>
      <c r="E12" s="5"/>
      <c r="F12" s="5">
        <f>F11</f>
        <v>150</v>
      </c>
      <c r="G12" s="5"/>
      <c r="H12" s="5">
        <v>1</v>
      </c>
      <c r="I12" s="5">
        <v>2</v>
      </c>
      <c r="J12" s="5"/>
      <c r="K12" s="5">
        <v>108</v>
      </c>
      <c r="L12" s="5"/>
      <c r="M12" s="5">
        <v>96</v>
      </c>
    </row>
    <row r="13" spans="1:14">
      <c r="A13" s="5" t="s">
        <v>786</v>
      </c>
      <c r="B13" s="5" t="str">
        <f t="shared" ref="B13:B17" si="1">B12</f>
        <v>AP2</v>
      </c>
      <c r="C13" s="5">
        <v>5</v>
      </c>
      <c r="D13" s="5">
        <v>0</v>
      </c>
      <c r="E13" s="5"/>
      <c r="F13" s="5">
        <f t="shared" ref="F13:F17" si="2">F12</f>
        <v>150</v>
      </c>
      <c r="G13" s="5"/>
      <c r="H13" s="5">
        <v>1</v>
      </c>
      <c r="I13" s="5">
        <v>2</v>
      </c>
      <c r="J13" s="5"/>
      <c r="K13" s="5">
        <v>427</v>
      </c>
      <c r="L13" s="5"/>
      <c r="M13" s="5">
        <v>9999</v>
      </c>
    </row>
    <row r="14" spans="1:14">
      <c r="A14" s="5" t="s">
        <v>787</v>
      </c>
      <c r="B14" s="5" t="str">
        <f t="shared" si="1"/>
        <v>AP2</v>
      </c>
      <c r="C14" s="5">
        <v>10</v>
      </c>
      <c r="D14" s="5">
        <v>1</v>
      </c>
      <c r="E14" s="5"/>
      <c r="F14" s="5">
        <f t="shared" si="2"/>
        <v>150</v>
      </c>
      <c r="G14" s="5"/>
      <c r="H14" s="5">
        <v>1</v>
      </c>
      <c r="I14" s="5">
        <v>2</v>
      </c>
      <c r="J14" s="5"/>
      <c r="K14" s="5">
        <v>201</v>
      </c>
      <c r="L14" s="5"/>
      <c r="M14" s="5">
        <v>236</v>
      </c>
    </row>
    <row r="15" spans="1:14">
      <c r="A15" s="5" t="s">
        <v>788</v>
      </c>
      <c r="B15" s="5" t="str">
        <f t="shared" si="1"/>
        <v>AP2</v>
      </c>
      <c r="C15" s="5">
        <v>30</v>
      </c>
      <c r="D15" s="5">
        <v>1</v>
      </c>
      <c r="E15" s="5"/>
      <c r="F15" s="5">
        <f t="shared" si="2"/>
        <v>150</v>
      </c>
      <c r="G15" s="5"/>
      <c r="H15" s="5">
        <v>1</v>
      </c>
      <c r="I15" s="5">
        <v>2</v>
      </c>
      <c r="J15" s="5"/>
      <c r="K15" s="5">
        <v>76</v>
      </c>
      <c r="L15" s="5"/>
      <c r="M15" s="5">
        <v>64</v>
      </c>
    </row>
    <row r="16" spans="1:14">
      <c r="A16" s="5" t="s">
        <v>789</v>
      </c>
      <c r="B16" s="5" t="str">
        <f t="shared" si="1"/>
        <v>AP2</v>
      </c>
      <c r="C16" s="5">
        <v>40</v>
      </c>
      <c r="D16" s="5">
        <v>1</v>
      </c>
      <c r="E16" s="5"/>
      <c r="F16" s="5">
        <f t="shared" si="2"/>
        <v>150</v>
      </c>
      <c r="G16" s="5"/>
      <c r="H16" s="5">
        <v>2</v>
      </c>
      <c r="I16" s="5">
        <v>2</v>
      </c>
      <c r="J16" s="5"/>
      <c r="K16" s="5">
        <v>77</v>
      </c>
      <c r="L16" s="5"/>
      <c r="M16" s="5">
        <v>31</v>
      </c>
    </row>
    <row r="17" spans="1:13">
      <c r="A17" s="5" t="s">
        <v>790</v>
      </c>
      <c r="B17" s="5" t="str">
        <f t="shared" si="1"/>
        <v>AP2</v>
      </c>
      <c r="C17" s="5">
        <v>100</v>
      </c>
      <c r="D17" s="5">
        <v>1</v>
      </c>
      <c r="E17" s="5"/>
      <c r="F17" s="5">
        <f t="shared" si="2"/>
        <v>150</v>
      </c>
      <c r="G17" s="5"/>
      <c r="H17" s="5">
        <v>0</v>
      </c>
      <c r="I17" s="5">
        <v>2</v>
      </c>
      <c r="J17" s="5"/>
      <c r="K17" s="5">
        <v>18</v>
      </c>
      <c r="L17" s="5"/>
      <c r="M17" s="5">
        <v>18</v>
      </c>
    </row>
    <row r="18" spans="1:13">
      <c r="A18" s="5" t="s">
        <v>791</v>
      </c>
      <c r="B18" s="5" t="s">
        <v>25</v>
      </c>
      <c r="C18" s="5">
        <v>20</v>
      </c>
      <c r="D18" s="5">
        <v>-1</v>
      </c>
      <c r="E18" s="5">
        <v>0</v>
      </c>
      <c r="F18" s="5">
        <v>150</v>
      </c>
      <c r="G18" s="5"/>
      <c r="H18" s="5">
        <v>0</v>
      </c>
      <c r="I18" s="5">
        <v>2</v>
      </c>
      <c r="J18" s="5"/>
      <c r="K18" s="5">
        <v>-1</v>
      </c>
      <c r="L18" s="5"/>
      <c r="M18" s="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7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N1" s="1" t="s">
        <v>774</v>
      </c>
    </row>
    <row r="2" spans="1:14">
      <c r="A2" s="9" t="s">
        <v>792</v>
      </c>
      <c r="B2" s="10" t="s">
        <v>10</v>
      </c>
      <c r="C2" s="10"/>
      <c r="D2" s="5">
        <v>0</v>
      </c>
      <c r="E2" s="5">
        <v>0</v>
      </c>
      <c r="F2" s="5">
        <v>75</v>
      </c>
      <c r="G2" s="9"/>
      <c r="H2" s="5">
        <v>1</v>
      </c>
      <c r="I2" s="5">
        <v>1</v>
      </c>
      <c r="J2" s="5">
        <f>MAX(I:I)</f>
        <v>2</v>
      </c>
      <c r="K2" s="5">
        <v>429</v>
      </c>
      <c r="L2" s="5"/>
      <c r="M2" s="5">
        <v>9999</v>
      </c>
    </row>
    <row r="3" spans="1:14">
      <c r="A3" s="9" t="s">
        <v>793</v>
      </c>
      <c r="B3" s="10" t="str">
        <f>B2</f>
        <v>AP1</v>
      </c>
      <c r="C3" s="9"/>
      <c r="D3" s="10">
        <v>0</v>
      </c>
      <c r="E3" s="10"/>
      <c r="F3" s="5">
        <f>F2</f>
        <v>75</v>
      </c>
      <c r="G3" s="5"/>
      <c r="H3" s="5">
        <v>1</v>
      </c>
      <c r="I3" s="5">
        <v>1</v>
      </c>
      <c r="J3" s="5"/>
      <c r="K3" s="5">
        <v>108</v>
      </c>
      <c r="L3" s="5"/>
      <c r="M3" s="5">
        <v>107</v>
      </c>
    </row>
    <row r="4" spans="1:14">
      <c r="A4" s="9" t="s">
        <v>794</v>
      </c>
      <c r="B4" s="10" t="str">
        <f t="shared" ref="B4:B8" si="0">B3</f>
        <v>AP1</v>
      </c>
      <c r="C4" s="10"/>
      <c r="D4" s="10">
        <v>1</v>
      </c>
      <c r="E4" s="10"/>
      <c r="F4" s="5">
        <f t="shared" ref="F4:F6" si="1">F3</f>
        <v>75</v>
      </c>
      <c r="G4" s="5"/>
      <c r="H4" s="5">
        <v>1</v>
      </c>
      <c r="I4" s="5">
        <v>1</v>
      </c>
      <c r="J4" s="5"/>
      <c r="K4" s="5">
        <v>76</v>
      </c>
      <c r="L4" s="5"/>
      <c r="M4" s="5">
        <v>43</v>
      </c>
    </row>
    <row r="5" spans="1:14">
      <c r="A5" s="5" t="s">
        <v>795</v>
      </c>
      <c r="B5" s="10" t="str">
        <f t="shared" si="0"/>
        <v>AP1</v>
      </c>
      <c r="C5" s="5"/>
      <c r="D5" s="5">
        <v>0</v>
      </c>
      <c r="E5" s="5">
        <v>0</v>
      </c>
      <c r="F5" s="5">
        <f t="shared" si="1"/>
        <v>75</v>
      </c>
      <c r="G5" s="5"/>
      <c r="H5" s="5">
        <v>1</v>
      </c>
      <c r="I5" s="5">
        <v>1</v>
      </c>
      <c r="J5" s="5"/>
      <c r="K5" s="5">
        <v>237</v>
      </c>
      <c r="L5" s="5"/>
      <c r="M5" s="5">
        <v>9999</v>
      </c>
    </row>
    <row r="6" spans="1:14">
      <c r="A6" s="5" t="s">
        <v>796</v>
      </c>
      <c r="B6" s="10" t="str">
        <f t="shared" si="0"/>
        <v>AP1</v>
      </c>
      <c r="C6" s="5"/>
      <c r="D6" s="5">
        <v>0</v>
      </c>
      <c r="E6" s="5"/>
      <c r="F6" s="5">
        <f t="shared" si="1"/>
        <v>75</v>
      </c>
      <c r="G6" s="5"/>
      <c r="H6" s="5">
        <v>1</v>
      </c>
      <c r="I6" s="5">
        <v>1</v>
      </c>
      <c r="J6" s="5"/>
      <c r="K6" s="5">
        <v>76</v>
      </c>
      <c r="L6" s="5"/>
      <c r="M6" s="5">
        <v>65</v>
      </c>
    </row>
    <row r="7" spans="1:14">
      <c r="A7" s="5" t="s">
        <v>797</v>
      </c>
      <c r="B7" s="10" t="str">
        <f t="shared" si="0"/>
        <v>AP1</v>
      </c>
      <c r="C7" s="5"/>
      <c r="D7" s="5">
        <v>0</v>
      </c>
      <c r="E7" s="5"/>
      <c r="F7" s="5">
        <v>75</v>
      </c>
      <c r="G7" s="5"/>
      <c r="H7" s="5">
        <v>2</v>
      </c>
      <c r="I7" s="5">
        <v>1</v>
      </c>
      <c r="J7" s="5"/>
      <c r="K7" s="5">
        <v>429</v>
      </c>
      <c r="L7" s="5"/>
      <c r="M7" s="5">
        <v>9999</v>
      </c>
    </row>
    <row r="8" spans="1:14">
      <c r="A8" s="5" t="s">
        <v>798</v>
      </c>
      <c r="B8" s="10" t="str">
        <f t="shared" si="0"/>
        <v>AP1</v>
      </c>
      <c r="C8" s="5"/>
      <c r="D8" s="5">
        <v>0</v>
      </c>
      <c r="E8" s="5"/>
      <c r="F8" s="5">
        <v>75</v>
      </c>
      <c r="G8" s="5"/>
      <c r="H8" s="5">
        <v>0</v>
      </c>
      <c r="I8" s="5">
        <v>1</v>
      </c>
      <c r="J8" s="5"/>
      <c r="K8" s="5">
        <v>-1</v>
      </c>
      <c r="L8" s="5"/>
      <c r="M8" s="5">
        <v>-1</v>
      </c>
    </row>
    <row r="9" spans="1:14">
      <c r="A9" s="8" t="s">
        <v>799</v>
      </c>
      <c r="B9" s="7" t="s">
        <v>25</v>
      </c>
      <c r="C9" s="8">
        <v>10</v>
      </c>
      <c r="D9" s="7"/>
      <c r="E9" s="7"/>
      <c r="F9" s="7">
        <v>250</v>
      </c>
      <c r="G9" s="8"/>
      <c r="H9" s="7">
        <v>1</v>
      </c>
      <c r="I9" s="7">
        <v>2</v>
      </c>
      <c r="J9" s="7"/>
      <c r="K9" s="7">
        <v>238</v>
      </c>
      <c r="L9" s="7"/>
      <c r="M9" s="7">
        <v>195</v>
      </c>
    </row>
    <row r="10" spans="1:14">
      <c r="A10" s="8" t="s">
        <v>800</v>
      </c>
      <c r="B10" s="7" t="str">
        <f>B9</f>
        <v>AP2</v>
      </c>
      <c r="C10" s="8">
        <v>40</v>
      </c>
      <c r="D10" s="7"/>
      <c r="E10" s="7"/>
      <c r="F10" s="7">
        <v>250</v>
      </c>
      <c r="G10" s="8"/>
      <c r="H10" s="7">
        <v>1</v>
      </c>
      <c r="I10" s="7">
        <v>2</v>
      </c>
      <c r="J10" s="7"/>
      <c r="K10" s="7">
        <v>77</v>
      </c>
      <c r="L10" s="7"/>
      <c r="M10" s="7">
        <v>40</v>
      </c>
    </row>
    <row r="11" spans="1:14">
      <c r="A11" s="8" t="s">
        <v>801</v>
      </c>
      <c r="B11" s="7" t="str">
        <f t="shared" ref="B11:B16" si="2">B10</f>
        <v>AP2</v>
      </c>
      <c r="C11" s="8">
        <v>10</v>
      </c>
      <c r="D11" s="7"/>
      <c r="E11" s="7"/>
      <c r="F11" s="7">
        <v>150</v>
      </c>
      <c r="G11" s="13"/>
      <c r="H11" s="7">
        <v>1</v>
      </c>
      <c r="I11" s="7">
        <v>2</v>
      </c>
      <c r="J11" s="7"/>
      <c r="K11" s="7">
        <v>236</v>
      </c>
      <c r="L11" s="7"/>
      <c r="M11" s="7">
        <v>208</v>
      </c>
    </row>
    <row r="12" spans="1:14">
      <c r="A12" s="8" t="s">
        <v>802</v>
      </c>
      <c r="B12" s="7" t="str">
        <f t="shared" si="2"/>
        <v>AP2</v>
      </c>
      <c r="C12" s="8">
        <v>40</v>
      </c>
      <c r="D12" s="7"/>
      <c r="E12" s="7"/>
      <c r="F12" s="7">
        <v>150</v>
      </c>
      <c r="G12" s="8"/>
      <c r="H12" s="7">
        <v>1</v>
      </c>
      <c r="I12" s="7">
        <v>2</v>
      </c>
      <c r="J12" s="7"/>
      <c r="K12" s="7">
        <v>76</v>
      </c>
      <c r="L12" s="7"/>
      <c r="M12" s="7">
        <v>52</v>
      </c>
    </row>
    <row r="13" spans="1:14">
      <c r="A13" s="8" t="s">
        <v>803</v>
      </c>
      <c r="B13" s="7" t="str">
        <f t="shared" si="2"/>
        <v>AP2</v>
      </c>
      <c r="C13" s="8">
        <v>10</v>
      </c>
      <c r="D13" s="7"/>
      <c r="E13" s="7"/>
      <c r="F13" s="7">
        <v>75</v>
      </c>
      <c r="G13" s="8"/>
      <c r="H13" s="7">
        <v>1</v>
      </c>
      <c r="I13" s="7">
        <v>2</v>
      </c>
      <c r="J13" s="7"/>
      <c r="K13" s="7">
        <v>236</v>
      </c>
      <c r="L13" s="7"/>
      <c r="M13" s="7">
        <v>205</v>
      </c>
    </row>
    <row r="14" spans="1:14">
      <c r="A14" s="8" t="s">
        <v>804</v>
      </c>
      <c r="B14" s="7" t="str">
        <f t="shared" si="2"/>
        <v>AP2</v>
      </c>
      <c r="C14" s="8">
        <v>40</v>
      </c>
      <c r="D14" s="7"/>
      <c r="E14" s="7"/>
      <c r="F14" s="7">
        <v>75</v>
      </c>
      <c r="G14" s="8"/>
      <c r="H14" s="7">
        <v>1</v>
      </c>
      <c r="I14" s="7">
        <v>2</v>
      </c>
      <c r="J14" s="7"/>
      <c r="K14" s="7">
        <v>76</v>
      </c>
      <c r="L14" s="7"/>
      <c r="M14" s="7">
        <v>40</v>
      </c>
    </row>
    <row r="15" spans="1:14">
      <c r="A15" s="7" t="s">
        <v>805</v>
      </c>
      <c r="B15" s="7" t="str">
        <f t="shared" si="2"/>
        <v>AP2</v>
      </c>
      <c r="C15" s="7">
        <v>10</v>
      </c>
      <c r="D15" s="7"/>
      <c r="E15" s="7"/>
      <c r="F15" s="7">
        <v>250</v>
      </c>
      <c r="G15" s="7"/>
      <c r="H15" s="7">
        <v>1</v>
      </c>
      <c r="I15" s="7">
        <v>2</v>
      </c>
      <c r="J15" s="7"/>
      <c r="K15" s="7">
        <v>236</v>
      </c>
      <c r="L15" s="7"/>
      <c r="M15" s="7">
        <v>182</v>
      </c>
    </row>
    <row r="16" spans="1:14">
      <c r="A16" s="7" t="s">
        <v>806</v>
      </c>
      <c r="B16" s="7" t="str">
        <f t="shared" si="2"/>
        <v>AP2</v>
      </c>
      <c r="C16" s="7">
        <v>40</v>
      </c>
      <c r="D16" s="7"/>
      <c r="E16" s="7"/>
      <c r="F16" s="7">
        <v>250</v>
      </c>
      <c r="G16" s="7"/>
      <c r="H16" s="7">
        <v>1</v>
      </c>
      <c r="I16" s="7">
        <v>2</v>
      </c>
      <c r="J16" s="7"/>
      <c r="K16" s="7">
        <v>77</v>
      </c>
      <c r="L16" s="7"/>
      <c r="M16" s="7">
        <v>29</v>
      </c>
    </row>
    <row r="17" spans="1:13">
      <c r="A17" s="7" t="s">
        <v>807</v>
      </c>
      <c r="B17" s="7" t="s">
        <v>25</v>
      </c>
      <c r="C17" s="7">
        <v>40</v>
      </c>
      <c r="D17" s="7"/>
      <c r="E17" s="7">
        <v>0</v>
      </c>
      <c r="F17" s="7">
        <v>250</v>
      </c>
      <c r="G17" s="7"/>
      <c r="H17" s="7">
        <v>0</v>
      </c>
      <c r="I17" s="7">
        <v>2</v>
      </c>
      <c r="J17" s="7"/>
      <c r="K17" s="7">
        <v>-1</v>
      </c>
      <c r="L17" s="7"/>
      <c r="M17" s="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0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808</v>
      </c>
      <c r="B2" s="10" t="s">
        <v>68</v>
      </c>
      <c r="C2" s="10">
        <v>40</v>
      </c>
      <c r="D2" s="5">
        <v>1</v>
      </c>
      <c r="E2" s="5">
        <v>1</v>
      </c>
      <c r="F2" s="5">
        <v>150</v>
      </c>
      <c r="G2" s="9"/>
      <c r="H2" s="5">
        <v>1</v>
      </c>
      <c r="I2" s="5">
        <v>1</v>
      </c>
      <c r="J2" s="5"/>
      <c r="K2" s="5">
        <v>77</v>
      </c>
      <c r="L2" s="5"/>
      <c r="M2" s="5">
        <v>35</v>
      </c>
    </row>
    <row r="3" spans="1:13">
      <c r="A3" s="9" t="s">
        <v>809</v>
      </c>
      <c r="B3" s="10" t="str">
        <f>B2</f>
        <v>M1</v>
      </c>
      <c r="C3" s="9">
        <v>5</v>
      </c>
      <c r="D3" s="10">
        <v>1</v>
      </c>
      <c r="E3" s="10">
        <v>1</v>
      </c>
      <c r="F3" s="5">
        <f>F2</f>
        <v>150</v>
      </c>
      <c r="G3" s="5"/>
      <c r="H3" s="5">
        <v>1</v>
      </c>
      <c r="I3" s="5">
        <v>1</v>
      </c>
      <c r="J3" s="5"/>
      <c r="K3" s="5">
        <v>429</v>
      </c>
      <c r="L3" s="5"/>
      <c r="M3" s="5">
        <v>363</v>
      </c>
    </row>
    <row r="4" spans="1:13">
      <c r="A4" s="9" t="s">
        <v>810</v>
      </c>
      <c r="B4" s="10" t="str">
        <f t="shared" ref="B4:B8" si="0">B3</f>
        <v>M1</v>
      </c>
      <c r="C4" s="10">
        <v>20</v>
      </c>
      <c r="D4" s="10">
        <v>1</v>
      </c>
      <c r="E4" s="10">
        <v>1</v>
      </c>
      <c r="F4" s="5">
        <f t="shared" ref="F4:F8" si="1">F3</f>
        <v>150</v>
      </c>
      <c r="G4" s="5"/>
      <c r="H4" s="5">
        <v>1</v>
      </c>
      <c r="I4" s="5">
        <v>1</v>
      </c>
      <c r="J4" s="5"/>
      <c r="K4" s="5">
        <v>108</v>
      </c>
      <c r="L4" s="5"/>
      <c r="M4" s="5">
        <v>84</v>
      </c>
    </row>
    <row r="5" spans="1:13">
      <c r="A5" s="5" t="s">
        <v>811</v>
      </c>
      <c r="B5" s="10" t="str">
        <f t="shared" si="0"/>
        <v>M1</v>
      </c>
      <c r="C5" s="5">
        <v>10</v>
      </c>
      <c r="D5" s="5">
        <v>1</v>
      </c>
      <c r="E5" s="5">
        <v>1</v>
      </c>
      <c r="F5" s="5">
        <f t="shared" si="1"/>
        <v>150</v>
      </c>
      <c r="G5" s="5"/>
      <c r="H5" s="5">
        <v>1</v>
      </c>
      <c r="I5" s="5">
        <v>1</v>
      </c>
      <c r="J5" s="5"/>
      <c r="K5" s="5">
        <v>236</v>
      </c>
      <c r="L5" s="5"/>
      <c r="M5" s="5">
        <v>198</v>
      </c>
    </row>
    <row r="6" spans="1:13">
      <c r="A6" s="5" t="s">
        <v>812</v>
      </c>
      <c r="B6" s="10" t="str">
        <f t="shared" si="0"/>
        <v>M1</v>
      </c>
      <c r="C6" s="5">
        <v>30</v>
      </c>
      <c r="D6" s="5">
        <v>1</v>
      </c>
      <c r="E6" s="5">
        <v>1</v>
      </c>
      <c r="F6" s="5">
        <f t="shared" si="1"/>
        <v>150</v>
      </c>
      <c r="G6" s="5"/>
      <c r="H6" s="5">
        <v>1</v>
      </c>
      <c r="I6" s="5">
        <v>1</v>
      </c>
      <c r="J6" s="5"/>
      <c r="K6" s="5">
        <v>77</v>
      </c>
      <c r="L6" s="5"/>
      <c r="M6" s="5">
        <v>46</v>
      </c>
    </row>
    <row r="7" spans="1:13">
      <c r="A7" s="5" t="s">
        <v>813</v>
      </c>
      <c r="B7" s="10" t="str">
        <f t="shared" si="0"/>
        <v>M1</v>
      </c>
      <c r="C7" s="5">
        <v>40</v>
      </c>
      <c r="D7" s="5">
        <v>1</v>
      </c>
      <c r="E7" s="5">
        <v>1</v>
      </c>
      <c r="F7" s="5">
        <f t="shared" si="1"/>
        <v>150</v>
      </c>
      <c r="G7" s="5"/>
      <c r="H7" s="5">
        <v>2</v>
      </c>
      <c r="I7" s="5">
        <v>1</v>
      </c>
      <c r="J7" s="5"/>
      <c r="K7" s="5">
        <v>77</v>
      </c>
      <c r="L7" s="5"/>
      <c r="M7" s="5">
        <v>33</v>
      </c>
    </row>
    <row r="8" spans="1:13">
      <c r="A8" s="5" t="s">
        <v>814</v>
      </c>
      <c r="B8" s="10" t="str">
        <f t="shared" si="0"/>
        <v>M1</v>
      </c>
      <c r="C8" s="5">
        <v>20</v>
      </c>
      <c r="D8" s="5">
        <v>-1</v>
      </c>
      <c r="E8" s="5">
        <v>0</v>
      </c>
      <c r="F8" s="5">
        <f t="shared" si="1"/>
        <v>150</v>
      </c>
      <c r="G8" s="5"/>
      <c r="H8" s="5">
        <v>0</v>
      </c>
      <c r="I8" s="5">
        <v>1</v>
      </c>
      <c r="J8" s="5"/>
      <c r="K8" s="5">
        <v>-1</v>
      </c>
      <c r="L8" s="5"/>
      <c r="M8" s="5">
        <v>-1</v>
      </c>
    </row>
    <row r="9" spans="1:13">
      <c r="A9" s="8" t="s">
        <v>815</v>
      </c>
      <c r="B9" s="7" t="s">
        <v>10</v>
      </c>
      <c r="C9" s="8">
        <v>40</v>
      </c>
      <c r="D9" s="7">
        <v>1</v>
      </c>
      <c r="E9" s="7"/>
      <c r="F9" s="7">
        <v>150</v>
      </c>
      <c r="G9" s="8"/>
      <c r="H9" s="7">
        <v>1</v>
      </c>
      <c r="I9" s="7">
        <v>2</v>
      </c>
      <c r="J9" s="7"/>
      <c r="K9" s="7">
        <v>76</v>
      </c>
      <c r="L9" s="7"/>
      <c r="M9" s="7">
        <v>47</v>
      </c>
    </row>
    <row r="10" spans="1:13">
      <c r="A10" s="8" t="s">
        <v>816</v>
      </c>
      <c r="B10" s="7" t="str">
        <f>B9</f>
        <v>AP1</v>
      </c>
      <c r="C10" s="8">
        <v>10</v>
      </c>
      <c r="D10" s="7">
        <v>0</v>
      </c>
      <c r="E10" s="7"/>
      <c r="F10" s="7">
        <f>F9</f>
        <v>150</v>
      </c>
      <c r="G10" s="8"/>
      <c r="H10" s="7">
        <v>1</v>
      </c>
      <c r="I10" s="7">
        <v>2</v>
      </c>
      <c r="J10" s="7"/>
      <c r="K10" s="7">
        <v>236</v>
      </c>
      <c r="L10" s="7"/>
      <c r="M10" s="7">
        <v>623</v>
      </c>
    </row>
    <row r="11" spans="1:13">
      <c r="A11" s="8" t="s">
        <v>817</v>
      </c>
      <c r="B11" s="7" t="str">
        <f t="shared" ref="B11:B14" si="2">B10</f>
        <v>AP1</v>
      </c>
      <c r="C11" s="8">
        <v>20</v>
      </c>
      <c r="D11" s="7">
        <v>0</v>
      </c>
      <c r="E11" s="7"/>
      <c r="F11" s="7">
        <f t="shared" ref="F11:F14" si="3">F10</f>
        <v>150</v>
      </c>
      <c r="G11" s="7"/>
      <c r="H11" s="7">
        <v>1</v>
      </c>
      <c r="I11" s="7">
        <v>2</v>
      </c>
      <c r="J11" s="7"/>
      <c r="K11" s="7">
        <v>108</v>
      </c>
      <c r="L11" s="7"/>
      <c r="M11" s="7">
        <v>101</v>
      </c>
    </row>
    <row r="12" spans="1:13">
      <c r="A12" s="8" t="s">
        <v>818</v>
      </c>
      <c r="B12" s="7" t="str">
        <f t="shared" si="2"/>
        <v>AP1</v>
      </c>
      <c r="C12" s="8">
        <v>5</v>
      </c>
      <c r="D12" s="7">
        <v>0</v>
      </c>
      <c r="E12" s="7"/>
      <c r="F12" s="7">
        <f t="shared" si="3"/>
        <v>150</v>
      </c>
      <c r="G12" s="8"/>
      <c r="H12" s="7">
        <v>1</v>
      </c>
      <c r="I12" s="7">
        <v>2</v>
      </c>
      <c r="J12" s="7"/>
      <c r="K12" s="7">
        <v>428</v>
      </c>
      <c r="L12" s="7"/>
      <c r="M12" s="7">
        <v>683</v>
      </c>
    </row>
    <row r="13" spans="1:13">
      <c r="A13" s="8" t="s">
        <v>819</v>
      </c>
      <c r="B13" s="7" t="str">
        <f t="shared" si="2"/>
        <v>AP1</v>
      </c>
      <c r="C13" s="8">
        <v>30</v>
      </c>
      <c r="D13" s="7">
        <v>0</v>
      </c>
      <c r="E13" s="7"/>
      <c r="F13" s="7">
        <f t="shared" si="3"/>
        <v>150</v>
      </c>
      <c r="G13" s="8"/>
      <c r="H13" s="7">
        <v>1</v>
      </c>
      <c r="I13" s="7">
        <v>2</v>
      </c>
      <c r="J13" s="7"/>
      <c r="K13" s="7">
        <v>76</v>
      </c>
      <c r="L13" s="7"/>
      <c r="M13" s="7">
        <v>77</v>
      </c>
    </row>
    <row r="14" spans="1:13">
      <c r="A14" s="8" t="s">
        <v>820</v>
      </c>
      <c r="B14" s="7" t="str">
        <f t="shared" si="2"/>
        <v>AP1</v>
      </c>
      <c r="C14" s="8">
        <v>40</v>
      </c>
      <c r="D14" s="7">
        <v>1</v>
      </c>
      <c r="E14" s="7"/>
      <c r="F14" s="7">
        <f t="shared" si="3"/>
        <v>150</v>
      </c>
      <c r="G14" s="8"/>
      <c r="H14" s="7">
        <v>2</v>
      </c>
      <c r="I14" s="7">
        <v>2</v>
      </c>
      <c r="J14" s="7"/>
      <c r="K14" s="7">
        <v>76</v>
      </c>
      <c r="L14" s="7"/>
      <c r="M14" s="7">
        <v>46</v>
      </c>
    </row>
    <row r="15" spans="1:13">
      <c r="A15" s="5" t="s">
        <v>821</v>
      </c>
      <c r="B15" s="4" t="s">
        <v>25</v>
      </c>
      <c r="C15" s="5">
        <v>20</v>
      </c>
      <c r="D15" s="5">
        <v>1</v>
      </c>
      <c r="E15" s="5">
        <v>1</v>
      </c>
      <c r="F15" s="4">
        <v>0</v>
      </c>
      <c r="G15" s="5"/>
      <c r="H15" s="5">
        <v>1</v>
      </c>
      <c r="I15" s="5">
        <v>3</v>
      </c>
      <c r="J15" s="5"/>
      <c r="K15" s="5">
        <v>108</v>
      </c>
      <c r="L15" s="5"/>
      <c r="M15" s="5">
        <v>91</v>
      </c>
    </row>
    <row r="16" spans="1:13">
      <c r="A16" s="5" t="s">
        <v>822</v>
      </c>
      <c r="B16" s="4" t="str">
        <f>B15</f>
        <v>AP2</v>
      </c>
      <c r="C16" s="5">
        <v>10</v>
      </c>
      <c r="D16" s="5">
        <v>0</v>
      </c>
      <c r="E16" s="5">
        <v>0</v>
      </c>
      <c r="F16" s="4">
        <f>F15</f>
        <v>0</v>
      </c>
      <c r="G16" s="5"/>
      <c r="H16" s="5">
        <v>1</v>
      </c>
      <c r="I16" s="5">
        <v>3</v>
      </c>
      <c r="J16" s="5"/>
      <c r="K16" s="5">
        <v>236</v>
      </c>
      <c r="L16" s="5"/>
      <c r="M16" s="5">
        <v>9999</v>
      </c>
    </row>
    <row r="17" spans="1:13">
      <c r="A17" s="5" t="s">
        <v>823</v>
      </c>
      <c r="B17" s="4" t="str">
        <f t="shared" ref="B17:B21" si="4">B16</f>
        <v>AP2</v>
      </c>
      <c r="C17" s="5">
        <v>40</v>
      </c>
      <c r="D17" s="5">
        <v>0</v>
      </c>
      <c r="E17" s="5">
        <v>1</v>
      </c>
      <c r="F17" s="4">
        <f t="shared" ref="F17:F21" si="5">F16</f>
        <v>0</v>
      </c>
      <c r="G17" s="5"/>
      <c r="H17" s="5">
        <v>1</v>
      </c>
      <c r="I17" s="5">
        <v>3</v>
      </c>
      <c r="J17" s="5"/>
      <c r="K17" s="5">
        <v>76</v>
      </c>
      <c r="L17" s="5"/>
      <c r="M17" s="5">
        <v>59</v>
      </c>
    </row>
    <row r="18" spans="1:13">
      <c r="A18" s="5" t="s">
        <v>824</v>
      </c>
      <c r="B18" s="4" t="str">
        <f t="shared" si="4"/>
        <v>AP2</v>
      </c>
      <c r="C18" s="5">
        <v>5</v>
      </c>
      <c r="D18" s="5">
        <v>0</v>
      </c>
      <c r="E18" s="5">
        <v>0</v>
      </c>
      <c r="F18" s="4">
        <f t="shared" si="5"/>
        <v>0</v>
      </c>
      <c r="G18" s="5"/>
      <c r="H18" s="5">
        <v>1</v>
      </c>
      <c r="I18" s="5">
        <v>3</v>
      </c>
      <c r="J18" s="5"/>
      <c r="K18" s="5">
        <v>428</v>
      </c>
      <c r="L18" s="5"/>
      <c r="M18" s="5">
        <v>9999</v>
      </c>
    </row>
    <row r="19" spans="1:13">
      <c r="A19" s="5" t="s">
        <v>825</v>
      </c>
      <c r="B19" s="4" t="str">
        <f t="shared" si="4"/>
        <v>AP2</v>
      </c>
      <c r="C19" s="5">
        <v>30</v>
      </c>
      <c r="D19" s="5">
        <v>0</v>
      </c>
      <c r="E19" s="5">
        <v>1</v>
      </c>
      <c r="F19" s="4">
        <f t="shared" si="5"/>
        <v>0</v>
      </c>
      <c r="G19" s="11"/>
      <c r="H19" s="5">
        <v>1</v>
      </c>
      <c r="I19" s="5">
        <v>3</v>
      </c>
      <c r="J19" s="5"/>
      <c r="K19" s="5">
        <v>77</v>
      </c>
      <c r="L19" s="5"/>
      <c r="M19" s="5">
        <v>76</v>
      </c>
    </row>
    <row r="20" spans="1:13">
      <c r="A20" s="5" t="s">
        <v>826</v>
      </c>
      <c r="B20" s="4" t="str">
        <f t="shared" si="4"/>
        <v>AP2</v>
      </c>
      <c r="C20" s="5">
        <v>20</v>
      </c>
      <c r="D20" s="5">
        <v>1</v>
      </c>
      <c r="E20" s="5">
        <v>1</v>
      </c>
      <c r="F20" s="4">
        <f t="shared" si="5"/>
        <v>0</v>
      </c>
      <c r="G20" s="11"/>
      <c r="H20" s="5">
        <v>2</v>
      </c>
      <c r="I20" s="5">
        <v>3</v>
      </c>
      <c r="J20" s="5"/>
      <c r="K20" s="5">
        <v>108</v>
      </c>
      <c r="L20" s="5"/>
      <c r="M20" s="5">
        <v>100</v>
      </c>
    </row>
    <row r="21" spans="1:13">
      <c r="A21" s="5" t="s">
        <v>827</v>
      </c>
      <c r="B21" s="4" t="str">
        <f t="shared" si="4"/>
        <v>AP2</v>
      </c>
      <c r="C21" s="5">
        <v>20</v>
      </c>
      <c r="D21" s="5">
        <v>0</v>
      </c>
      <c r="E21" s="5">
        <v>0</v>
      </c>
      <c r="F21" s="4">
        <f t="shared" si="5"/>
        <v>0</v>
      </c>
      <c r="G21" s="11"/>
      <c r="H21" s="5">
        <v>0</v>
      </c>
      <c r="I21" s="5">
        <v>3</v>
      </c>
      <c r="J21" s="5"/>
      <c r="K21" s="5">
        <v>-1</v>
      </c>
      <c r="L21" s="5"/>
      <c r="M21" s="5">
        <v>-1</v>
      </c>
    </row>
    <row r="22" spans="1:13">
      <c r="A22" s="7" t="s">
        <v>828</v>
      </c>
      <c r="B22" s="7" t="s">
        <v>93</v>
      </c>
      <c r="C22" s="7">
        <v>10</v>
      </c>
      <c r="D22" s="7">
        <v>0</v>
      </c>
      <c r="E22" s="7"/>
      <c r="F22" s="7">
        <v>75</v>
      </c>
      <c r="G22" s="7"/>
      <c r="H22" s="7">
        <v>1</v>
      </c>
      <c r="I22" s="7">
        <v>4</v>
      </c>
      <c r="J22" s="7"/>
      <c r="K22" s="7">
        <v>236</v>
      </c>
      <c r="L22" s="7"/>
      <c r="M22" s="7">
        <v>9999</v>
      </c>
    </row>
    <row r="23" spans="1:13">
      <c r="A23" s="7" t="s">
        <v>829</v>
      </c>
      <c r="B23" s="7" t="str">
        <f>B22</f>
        <v>AP3</v>
      </c>
      <c r="C23" s="7">
        <v>40</v>
      </c>
      <c r="D23" s="7">
        <v>1</v>
      </c>
      <c r="E23" s="7"/>
      <c r="F23" s="7">
        <v>75</v>
      </c>
      <c r="G23" s="7"/>
      <c r="H23" s="7">
        <v>1</v>
      </c>
      <c r="I23" s="7">
        <v>4</v>
      </c>
      <c r="J23" s="7"/>
      <c r="K23" s="7">
        <v>76</v>
      </c>
      <c r="L23" s="7"/>
      <c r="M23" s="7">
        <v>48</v>
      </c>
    </row>
    <row r="24" spans="1:13">
      <c r="A24" s="7" t="s">
        <v>830</v>
      </c>
      <c r="B24" s="7" t="str">
        <f t="shared" ref="B24:B27" si="6">B23</f>
        <v>AP3</v>
      </c>
      <c r="C24" s="7">
        <v>10</v>
      </c>
      <c r="D24" s="7">
        <v>1</v>
      </c>
      <c r="E24" s="7"/>
      <c r="F24" s="7">
        <v>250</v>
      </c>
      <c r="G24" s="7"/>
      <c r="H24" s="7">
        <v>1</v>
      </c>
      <c r="I24" s="7">
        <v>4</v>
      </c>
      <c r="J24" s="7"/>
      <c r="K24" s="7">
        <v>236</v>
      </c>
      <c r="L24" s="7"/>
      <c r="M24" s="7">
        <v>178</v>
      </c>
    </row>
    <row r="25" spans="1:13">
      <c r="A25" s="7" t="s">
        <v>831</v>
      </c>
      <c r="B25" s="7" t="str">
        <f t="shared" si="6"/>
        <v>AP3</v>
      </c>
      <c r="C25" s="7">
        <v>40</v>
      </c>
      <c r="D25" s="7">
        <v>1</v>
      </c>
      <c r="E25" s="7"/>
      <c r="F25" s="7">
        <v>250</v>
      </c>
      <c r="G25" s="7"/>
      <c r="H25" s="7">
        <v>1</v>
      </c>
      <c r="I25" s="7">
        <v>4</v>
      </c>
      <c r="J25" s="7"/>
      <c r="K25" s="7">
        <v>76</v>
      </c>
      <c r="L25" s="7"/>
      <c r="M25" s="7">
        <v>43</v>
      </c>
    </row>
    <row r="26" spans="1:13">
      <c r="A26" s="7" t="s">
        <v>832</v>
      </c>
      <c r="B26" s="7" t="str">
        <f t="shared" si="6"/>
        <v>AP3</v>
      </c>
      <c r="C26" s="7">
        <v>10</v>
      </c>
      <c r="D26" s="7">
        <v>0</v>
      </c>
      <c r="E26" s="7"/>
      <c r="F26" s="7">
        <v>150</v>
      </c>
      <c r="G26" s="7"/>
      <c r="H26" s="7">
        <v>1</v>
      </c>
      <c r="I26" s="7">
        <v>4</v>
      </c>
      <c r="J26" s="7"/>
      <c r="K26" s="7">
        <v>236</v>
      </c>
      <c r="L26" s="7"/>
      <c r="M26" s="7">
        <v>203</v>
      </c>
    </row>
    <row r="27" spans="1:13">
      <c r="A27" s="7" t="s">
        <v>833</v>
      </c>
      <c r="B27" s="7" t="str">
        <f t="shared" si="6"/>
        <v>AP3</v>
      </c>
      <c r="C27" s="7">
        <v>40</v>
      </c>
      <c r="D27" s="7">
        <v>1</v>
      </c>
      <c r="E27" s="7"/>
      <c r="F27" s="7">
        <v>150</v>
      </c>
      <c r="G27" s="7"/>
      <c r="H27" s="7">
        <v>1</v>
      </c>
      <c r="I27" s="7">
        <v>4</v>
      </c>
      <c r="J27" s="7"/>
      <c r="K27" s="7">
        <v>76</v>
      </c>
      <c r="L27" s="7"/>
      <c r="M27" s="7">
        <v>32</v>
      </c>
    </row>
    <row r="28" spans="1:13">
      <c r="A28" s="7" t="s">
        <v>834</v>
      </c>
      <c r="B28" s="7" t="s">
        <v>93</v>
      </c>
      <c r="C28" s="7">
        <v>10</v>
      </c>
      <c r="D28" s="7"/>
      <c r="E28" s="7"/>
      <c r="F28" s="7">
        <v>75</v>
      </c>
      <c r="G28" s="7"/>
      <c r="H28" s="7">
        <v>1</v>
      </c>
      <c r="I28" s="7">
        <v>4</v>
      </c>
      <c r="J28" s="7"/>
      <c r="K28" s="7">
        <v>236</v>
      </c>
      <c r="L28" s="7"/>
      <c r="M28" s="7">
        <v>9999</v>
      </c>
    </row>
    <row r="29" spans="1:13">
      <c r="A29" s="7" t="s">
        <v>835</v>
      </c>
      <c r="B29" s="7" t="str">
        <f>B28</f>
        <v>AP3</v>
      </c>
      <c r="C29" s="7">
        <v>40</v>
      </c>
      <c r="D29" s="7"/>
      <c r="E29" s="7"/>
      <c r="F29" s="7">
        <v>75</v>
      </c>
      <c r="G29" s="7"/>
      <c r="H29" s="7">
        <v>1</v>
      </c>
      <c r="I29" s="7">
        <v>4</v>
      </c>
      <c r="J29" s="7"/>
      <c r="K29" s="7">
        <v>76</v>
      </c>
      <c r="L29" s="7"/>
      <c r="M29" s="7">
        <v>47</v>
      </c>
    </row>
    <row r="30" spans="1:13">
      <c r="A30" s="7" t="s">
        <v>836</v>
      </c>
      <c r="B30" s="7" t="str">
        <f>B29</f>
        <v>AP3</v>
      </c>
      <c r="C30" s="7">
        <v>40</v>
      </c>
      <c r="D30" s="7"/>
      <c r="E30" s="7">
        <v>0</v>
      </c>
      <c r="F30" s="7"/>
      <c r="G30" s="7"/>
      <c r="H30" s="7">
        <v>0</v>
      </c>
      <c r="I30" s="7">
        <v>4</v>
      </c>
      <c r="J30" s="7"/>
      <c r="K30" s="7">
        <v>-1</v>
      </c>
      <c r="L30" s="7"/>
      <c r="M30" s="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7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10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837</v>
      </c>
      <c r="B2" s="10" t="s">
        <v>68</v>
      </c>
      <c r="C2" s="10">
        <v>10</v>
      </c>
      <c r="D2" s="5">
        <v>0</v>
      </c>
      <c r="E2" s="5">
        <v>0</v>
      </c>
      <c r="F2" s="5">
        <v>75</v>
      </c>
      <c r="G2" s="9"/>
      <c r="H2" s="5">
        <v>1</v>
      </c>
      <c r="I2" s="5">
        <v>1</v>
      </c>
      <c r="J2" s="5">
        <f>MAX(I:I)</f>
        <v>2</v>
      </c>
      <c r="K2" s="5">
        <v>237</v>
      </c>
      <c r="L2" s="5"/>
      <c r="M2" s="5">
        <v>9999</v>
      </c>
    </row>
    <row r="3" spans="1:13">
      <c r="A3" s="9" t="s">
        <v>838</v>
      </c>
      <c r="B3" s="10" t="str">
        <f>B2</f>
        <v>M1</v>
      </c>
      <c r="C3" s="9">
        <v>40</v>
      </c>
      <c r="D3" s="10">
        <v>0</v>
      </c>
      <c r="E3" s="10">
        <v>1</v>
      </c>
      <c r="F3" s="5">
        <f>F2</f>
        <v>75</v>
      </c>
      <c r="G3" s="5"/>
      <c r="H3" s="5">
        <v>1</v>
      </c>
      <c r="I3" s="5">
        <v>1</v>
      </c>
      <c r="J3" s="5"/>
      <c r="K3" s="5">
        <v>77</v>
      </c>
      <c r="L3" s="5"/>
      <c r="M3" s="5">
        <v>57</v>
      </c>
    </row>
    <row r="4" spans="1:13">
      <c r="A4" s="9" t="s">
        <v>839</v>
      </c>
      <c r="B4" s="10" t="str">
        <f t="shared" ref="B4:B8" si="0">B3</f>
        <v>M1</v>
      </c>
      <c r="C4" s="10">
        <v>20</v>
      </c>
      <c r="D4" s="10">
        <v>0</v>
      </c>
      <c r="E4" s="10">
        <v>1</v>
      </c>
      <c r="F4" s="5">
        <f t="shared" ref="F4:F6" si="1">F3</f>
        <v>75</v>
      </c>
      <c r="G4" s="5"/>
      <c r="H4" s="5">
        <v>1</v>
      </c>
      <c r="I4" s="5">
        <v>1</v>
      </c>
      <c r="J4" s="5"/>
      <c r="K4" s="5">
        <v>109</v>
      </c>
      <c r="L4" s="5"/>
      <c r="M4" s="5">
        <v>109</v>
      </c>
    </row>
    <row r="5" spans="1:13">
      <c r="A5" s="5" t="s">
        <v>840</v>
      </c>
      <c r="B5" s="10" t="str">
        <f t="shared" si="0"/>
        <v>M1</v>
      </c>
      <c r="C5" s="5">
        <v>5</v>
      </c>
      <c r="D5" s="5">
        <v>0</v>
      </c>
      <c r="E5" s="5">
        <v>0</v>
      </c>
      <c r="F5" s="5">
        <f t="shared" si="1"/>
        <v>75</v>
      </c>
      <c r="G5" s="5"/>
      <c r="H5" s="5">
        <v>1</v>
      </c>
      <c r="I5" s="5">
        <v>1</v>
      </c>
      <c r="J5" s="5"/>
      <c r="K5" s="5">
        <v>429</v>
      </c>
      <c r="L5" s="5"/>
      <c r="M5" s="5">
        <v>9999</v>
      </c>
    </row>
    <row r="6" spans="1:13">
      <c r="A6" s="5" t="s">
        <v>841</v>
      </c>
      <c r="B6" s="10" t="str">
        <f t="shared" si="0"/>
        <v>M1</v>
      </c>
      <c r="C6" s="5">
        <v>30</v>
      </c>
      <c r="D6" s="5">
        <v>1</v>
      </c>
      <c r="E6" s="5">
        <v>1</v>
      </c>
      <c r="F6" s="5">
        <f t="shared" si="1"/>
        <v>75</v>
      </c>
      <c r="G6" s="5"/>
      <c r="H6" s="5">
        <v>1</v>
      </c>
      <c r="I6" s="5">
        <v>1</v>
      </c>
      <c r="J6" s="5"/>
      <c r="K6" s="5">
        <v>75</v>
      </c>
      <c r="L6" s="5"/>
      <c r="M6" s="5">
        <v>64</v>
      </c>
    </row>
    <row r="7" spans="1:13">
      <c r="A7" s="5" t="s">
        <v>842</v>
      </c>
      <c r="B7" s="10" t="str">
        <f t="shared" si="0"/>
        <v>M1</v>
      </c>
      <c r="C7" s="5">
        <v>10</v>
      </c>
      <c r="D7" s="5">
        <v>0</v>
      </c>
      <c r="E7" s="5">
        <v>0</v>
      </c>
      <c r="F7" s="5">
        <v>75</v>
      </c>
      <c r="G7" s="5"/>
      <c r="H7" s="5">
        <v>2</v>
      </c>
      <c r="I7" s="5">
        <v>1</v>
      </c>
      <c r="J7" s="5"/>
      <c r="K7" s="5">
        <v>236</v>
      </c>
      <c r="L7" s="5"/>
      <c r="M7" s="5">
        <v>9999</v>
      </c>
    </row>
    <row r="8" spans="1:13">
      <c r="A8" s="5" t="s">
        <v>843</v>
      </c>
      <c r="B8" s="10" t="str">
        <f t="shared" si="0"/>
        <v>M1</v>
      </c>
      <c r="C8" s="5">
        <v>20</v>
      </c>
      <c r="D8" s="5">
        <v>-1</v>
      </c>
      <c r="E8" s="5">
        <v>0</v>
      </c>
      <c r="F8" s="5">
        <v>75</v>
      </c>
      <c r="G8" s="5"/>
      <c r="H8" s="5">
        <v>0</v>
      </c>
      <c r="I8" s="5">
        <v>1</v>
      </c>
      <c r="J8" s="5"/>
      <c r="K8" s="5">
        <v>-1</v>
      </c>
      <c r="L8" s="5">
        <v>-1</v>
      </c>
      <c r="M8" s="5">
        <v>-1</v>
      </c>
    </row>
    <row r="9" spans="1:13">
      <c r="A9" s="7" t="s">
        <v>844</v>
      </c>
      <c r="B9" s="7" t="s">
        <v>68</v>
      </c>
      <c r="C9" s="7">
        <v>10</v>
      </c>
      <c r="D9" s="7">
        <v>1</v>
      </c>
      <c r="E9" s="7"/>
      <c r="F9" s="7">
        <v>250</v>
      </c>
      <c r="G9" s="7"/>
      <c r="H9" s="7">
        <v>1</v>
      </c>
      <c r="I9" s="7">
        <v>2</v>
      </c>
      <c r="J9" s="7"/>
      <c r="K9" s="7">
        <v>236</v>
      </c>
      <c r="L9" s="7"/>
      <c r="M9" s="7">
        <v>166</v>
      </c>
    </row>
    <row r="10" spans="1:13">
      <c r="A10" s="7" t="s">
        <v>845</v>
      </c>
      <c r="B10" s="7" t="str">
        <f>B9</f>
        <v>M1</v>
      </c>
      <c r="C10" s="7">
        <v>40</v>
      </c>
      <c r="D10" s="7">
        <v>1</v>
      </c>
      <c r="E10" s="7"/>
      <c r="F10" s="7">
        <v>250</v>
      </c>
      <c r="G10" s="7"/>
      <c r="H10" s="7">
        <v>1</v>
      </c>
      <c r="I10" s="7">
        <v>2</v>
      </c>
      <c r="J10" s="7"/>
      <c r="K10" s="7">
        <v>77</v>
      </c>
      <c r="L10" s="7"/>
      <c r="M10" s="7">
        <v>23</v>
      </c>
    </row>
    <row r="11" spans="1:13">
      <c r="A11" s="7" t="s">
        <v>846</v>
      </c>
      <c r="B11" s="7" t="str">
        <f t="shared" ref="B11:B16" si="2">B10</f>
        <v>M1</v>
      </c>
      <c r="C11" s="7">
        <v>10</v>
      </c>
      <c r="D11" s="7">
        <v>1</v>
      </c>
      <c r="E11" s="7"/>
      <c r="F11" s="7">
        <v>150</v>
      </c>
      <c r="G11" s="7"/>
      <c r="H11" s="7">
        <v>1</v>
      </c>
      <c r="I11" s="7">
        <v>2</v>
      </c>
      <c r="J11" s="7"/>
      <c r="K11" s="7">
        <v>236</v>
      </c>
      <c r="L11" s="7"/>
      <c r="M11" s="7">
        <v>196</v>
      </c>
    </row>
    <row r="12" spans="1:13">
      <c r="A12" s="7" t="s">
        <v>847</v>
      </c>
      <c r="B12" s="7" t="str">
        <f t="shared" si="2"/>
        <v>M1</v>
      </c>
      <c r="C12" s="7">
        <v>40</v>
      </c>
      <c r="D12" s="7">
        <v>1</v>
      </c>
      <c r="E12" s="7"/>
      <c r="F12" s="7">
        <v>150</v>
      </c>
      <c r="G12" s="7"/>
      <c r="H12" s="7">
        <v>1</v>
      </c>
      <c r="I12" s="7">
        <v>2</v>
      </c>
      <c r="J12" s="7"/>
      <c r="K12" s="7">
        <v>77</v>
      </c>
      <c r="L12" s="7"/>
      <c r="M12" s="7">
        <v>46</v>
      </c>
    </row>
    <row r="13" spans="1:13">
      <c r="A13" s="7" t="s">
        <v>848</v>
      </c>
      <c r="B13" s="7" t="str">
        <f t="shared" si="2"/>
        <v>M1</v>
      </c>
      <c r="C13" s="7">
        <v>10</v>
      </c>
      <c r="D13" s="7">
        <v>0</v>
      </c>
      <c r="E13" s="7"/>
      <c r="F13" s="7">
        <v>75</v>
      </c>
      <c r="G13" s="7"/>
      <c r="H13" s="7">
        <v>1</v>
      </c>
      <c r="I13" s="7">
        <v>2</v>
      </c>
      <c r="J13" s="7"/>
      <c r="K13" s="7">
        <v>236</v>
      </c>
      <c r="L13" s="7"/>
      <c r="M13" s="7">
        <v>431</v>
      </c>
    </row>
    <row r="14" spans="1:13">
      <c r="A14" s="7" t="s">
        <v>849</v>
      </c>
      <c r="B14" s="7" t="str">
        <f t="shared" si="2"/>
        <v>M1</v>
      </c>
      <c r="C14" s="7">
        <v>40</v>
      </c>
      <c r="D14" s="7">
        <v>0</v>
      </c>
      <c r="E14" s="7"/>
      <c r="F14" s="7">
        <v>75</v>
      </c>
      <c r="G14" s="7"/>
      <c r="H14" s="7">
        <v>1</v>
      </c>
      <c r="I14" s="7">
        <v>2</v>
      </c>
      <c r="J14" s="7"/>
      <c r="K14" s="7">
        <v>77</v>
      </c>
      <c r="L14" s="7"/>
      <c r="M14" s="7">
        <v>61</v>
      </c>
    </row>
    <row r="15" spans="1:13">
      <c r="A15" s="7" t="s">
        <v>850</v>
      </c>
      <c r="B15" s="7" t="str">
        <f t="shared" si="2"/>
        <v>M1</v>
      </c>
      <c r="C15" s="7">
        <v>10</v>
      </c>
      <c r="D15" s="7">
        <v>1</v>
      </c>
      <c r="E15" s="7"/>
      <c r="F15" s="7">
        <v>250</v>
      </c>
      <c r="G15" s="7"/>
      <c r="H15" s="7">
        <v>1</v>
      </c>
      <c r="I15" s="7">
        <v>2</v>
      </c>
      <c r="J15" s="7"/>
      <c r="K15" s="7">
        <v>236</v>
      </c>
      <c r="L15" s="7"/>
      <c r="M15" s="7">
        <v>174</v>
      </c>
    </row>
    <row r="16" spans="1:13">
      <c r="A16" s="7" t="s">
        <v>851</v>
      </c>
      <c r="B16" s="7" t="str">
        <f t="shared" si="2"/>
        <v>M1</v>
      </c>
      <c r="C16" s="7">
        <v>40</v>
      </c>
      <c r="D16" s="7">
        <v>1</v>
      </c>
      <c r="E16" s="7"/>
      <c r="F16" s="7">
        <v>250</v>
      </c>
      <c r="G16" s="7"/>
      <c r="H16" s="7">
        <v>1</v>
      </c>
      <c r="I16" s="7">
        <v>2</v>
      </c>
      <c r="J16" s="7"/>
      <c r="K16" s="7">
        <v>77</v>
      </c>
      <c r="L16" s="7"/>
      <c r="M16" s="7">
        <v>40</v>
      </c>
    </row>
    <row r="17" spans="1:13">
      <c r="A17" s="7" t="s">
        <v>852</v>
      </c>
      <c r="B17" s="7" t="s">
        <v>68</v>
      </c>
      <c r="C17" s="7">
        <v>40</v>
      </c>
      <c r="D17" s="7">
        <v>-1</v>
      </c>
      <c r="E17" s="7">
        <v>0</v>
      </c>
      <c r="F17" s="7">
        <v>250</v>
      </c>
      <c r="G17" s="7"/>
      <c r="H17" s="7">
        <v>0</v>
      </c>
      <c r="I17" s="7">
        <v>2</v>
      </c>
      <c r="J17" s="7"/>
      <c r="K17" s="7">
        <v>-1</v>
      </c>
      <c r="L17" s="7">
        <v>-1</v>
      </c>
      <c r="M17" s="7">
        <v>-1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6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32.25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853</v>
      </c>
      <c r="B2" s="10" t="s">
        <v>854</v>
      </c>
      <c r="C2" s="10">
        <v>10</v>
      </c>
      <c r="D2" s="5">
        <v>0</v>
      </c>
      <c r="E2" s="5">
        <v>1</v>
      </c>
      <c r="F2" s="5">
        <v>150</v>
      </c>
      <c r="G2" s="9"/>
      <c r="H2" s="5">
        <v>1</v>
      </c>
      <c r="I2" s="5">
        <v>1</v>
      </c>
      <c r="J2" s="5"/>
      <c r="K2" s="5">
        <v>107</v>
      </c>
      <c r="L2" s="5"/>
      <c r="M2" s="5">
        <v>328</v>
      </c>
    </row>
    <row r="3" spans="1:13">
      <c r="A3" s="9" t="s">
        <v>855</v>
      </c>
      <c r="B3" s="10" t="s">
        <v>854</v>
      </c>
      <c r="C3" s="9">
        <v>5</v>
      </c>
      <c r="D3" s="10">
        <v>0</v>
      </c>
      <c r="E3" s="10">
        <v>0</v>
      </c>
      <c r="F3" s="5">
        <f>F2</f>
        <v>150</v>
      </c>
      <c r="G3" s="5"/>
      <c r="H3" s="5">
        <v>1</v>
      </c>
      <c r="I3" s="5">
        <v>1</v>
      </c>
      <c r="J3" s="5"/>
      <c r="K3" s="5">
        <v>111</v>
      </c>
      <c r="L3" s="5"/>
      <c r="M3" s="5">
        <v>9999</v>
      </c>
    </row>
    <row r="4" spans="1:13">
      <c r="A4" s="9" t="s">
        <v>856</v>
      </c>
      <c r="B4" s="10" t="s">
        <v>854</v>
      </c>
      <c r="C4" s="10">
        <v>40</v>
      </c>
      <c r="D4" s="10">
        <v>0</v>
      </c>
      <c r="E4" s="10">
        <v>1</v>
      </c>
      <c r="F4" s="5">
        <f t="shared" ref="F4:F6" si="0">F3</f>
        <v>150</v>
      </c>
      <c r="G4" s="5"/>
      <c r="H4" s="5">
        <v>1</v>
      </c>
      <c r="I4" s="5">
        <v>1</v>
      </c>
      <c r="J4" s="5"/>
      <c r="K4" s="5">
        <v>108</v>
      </c>
      <c r="L4" s="5"/>
      <c r="M4" s="5">
        <v>172</v>
      </c>
    </row>
    <row r="5" spans="1:13">
      <c r="A5" s="5" t="s">
        <v>857</v>
      </c>
      <c r="B5" s="10" t="s">
        <v>854</v>
      </c>
      <c r="C5" s="5">
        <v>20</v>
      </c>
      <c r="D5" s="5">
        <v>0</v>
      </c>
      <c r="E5" s="5">
        <v>1</v>
      </c>
      <c r="F5" s="5">
        <f t="shared" si="0"/>
        <v>150</v>
      </c>
      <c r="G5" s="5"/>
      <c r="H5" s="5">
        <v>1</v>
      </c>
      <c r="I5" s="5">
        <v>1</v>
      </c>
      <c r="J5" s="5"/>
      <c r="K5" s="5">
        <v>108</v>
      </c>
      <c r="L5" s="5"/>
      <c r="M5" s="5">
        <v>216</v>
      </c>
    </row>
    <row r="6" spans="1:13">
      <c r="A6" s="5" t="s">
        <v>858</v>
      </c>
      <c r="B6" s="10" t="s">
        <v>854</v>
      </c>
      <c r="C6" s="5">
        <v>30</v>
      </c>
      <c r="D6" s="5">
        <v>0</v>
      </c>
      <c r="E6" s="5">
        <v>1</v>
      </c>
      <c r="F6" s="5">
        <f t="shared" si="0"/>
        <v>150</v>
      </c>
      <c r="G6" s="5"/>
      <c r="H6" s="5">
        <v>1</v>
      </c>
      <c r="I6" s="5">
        <v>1</v>
      </c>
      <c r="J6" s="5"/>
      <c r="K6" s="5">
        <v>108</v>
      </c>
      <c r="L6" s="5"/>
      <c r="M6" s="5">
        <v>201</v>
      </c>
    </row>
    <row r="7" spans="1:13">
      <c r="A7" s="5" t="s">
        <v>859</v>
      </c>
      <c r="B7" s="10" t="s">
        <v>854</v>
      </c>
      <c r="C7" s="5">
        <v>10</v>
      </c>
      <c r="D7" s="5">
        <v>0</v>
      </c>
      <c r="E7" s="5">
        <v>1</v>
      </c>
      <c r="F7" s="5">
        <f>F6</f>
        <v>150</v>
      </c>
      <c r="G7" s="5"/>
      <c r="H7" s="5">
        <v>2</v>
      </c>
      <c r="I7" s="5">
        <v>1</v>
      </c>
      <c r="J7" s="5"/>
      <c r="K7" s="5">
        <v>107</v>
      </c>
      <c r="L7" s="5"/>
      <c r="M7" s="5">
        <v>677</v>
      </c>
    </row>
    <row r="8" spans="1:13">
      <c r="A8" s="5" t="s">
        <v>860</v>
      </c>
      <c r="B8" s="5" t="s">
        <v>854</v>
      </c>
      <c r="C8" s="5">
        <v>20</v>
      </c>
      <c r="D8" s="5">
        <v>-1</v>
      </c>
      <c r="E8" s="5">
        <v>0</v>
      </c>
      <c r="F8" s="5">
        <v>150</v>
      </c>
      <c r="G8" s="5"/>
      <c r="H8" s="5">
        <v>0</v>
      </c>
      <c r="I8" s="5">
        <v>1</v>
      </c>
      <c r="J8" s="5"/>
      <c r="K8" s="5">
        <v>9999</v>
      </c>
      <c r="L8" s="5"/>
      <c r="M8" s="5">
        <v>9999</v>
      </c>
    </row>
    <row r="9" spans="1:13">
      <c r="A9" s="7" t="s">
        <v>861</v>
      </c>
      <c r="B9" s="7" t="s">
        <v>862</v>
      </c>
      <c r="C9" s="7">
        <v>20</v>
      </c>
      <c r="D9" s="7">
        <v>1</v>
      </c>
      <c r="E9" s="7">
        <v>1</v>
      </c>
      <c r="F9" s="7">
        <v>150</v>
      </c>
      <c r="G9" s="7"/>
      <c r="H9" s="7">
        <v>1</v>
      </c>
      <c r="I9" s="7">
        <v>2</v>
      </c>
      <c r="J9" s="7"/>
      <c r="K9" s="7">
        <v>108</v>
      </c>
      <c r="L9" s="7"/>
      <c r="M9" s="7">
        <v>208</v>
      </c>
    </row>
    <row r="10" spans="1:13">
      <c r="A10" s="7" t="s">
        <v>863</v>
      </c>
      <c r="B10" s="7" t="s">
        <v>862</v>
      </c>
      <c r="C10" s="7">
        <v>10</v>
      </c>
      <c r="D10" s="7">
        <v>1</v>
      </c>
      <c r="E10" s="7">
        <v>1</v>
      </c>
      <c r="F10" s="7">
        <v>150</v>
      </c>
      <c r="G10" s="7"/>
      <c r="H10" s="7">
        <v>1</v>
      </c>
      <c r="I10" s="7">
        <v>2</v>
      </c>
      <c r="J10" s="7"/>
      <c r="K10" s="7">
        <v>108</v>
      </c>
      <c r="L10" s="7"/>
      <c r="M10" s="7">
        <v>288</v>
      </c>
    </row>
    <row r="11" spans="1:13">
      <c r="A11" s="7" t="s">
        <v>864</v>
      </c>
      <c r="B11" s="7" t="s">
        <v>862</v>
      </c>
      <c r="C11" s="7">
        <v>5</v>
      </c>
      <c r="D11" s="7">
        <v>0</v>
      </c>
      <c r="E11" s="7">
        <v>0</v>
      </c>
      <c r="F11" s="7">
        <v>150</v>
      </c>
      <c r="G11" s="7"/>
      <c r="H11" s="7">
        <v>1</v>
      </c>
      <c r="I11" s="7">
        <v>2</v>
      </c>
      <c r="J11" s="7"/>
      <c r="K11" s="7">
        <v>110</v>
      </c>
      <c r="L11" s="7"/>
      <c r="M11" s="7">
        <v>9999</v>
      </c>
    </row>
    <row r="12" spans="1:13">
      <c r="A12" s="7" t="s">
        <v>865</v>
      </c>
      <c r="B12" s="7" t="s">
        <v>862</v>
      </c>
      <c r="C12" s="7">
        <v>40</v>
      </c>
      <c r="D12" s="7">
        <v>0</v>
      </c>
      <c r="E12" s="7">
        <v>1</v>
      </c>
      <c r="F12" s="7">
        <v>150</v>
      </c>
      <c r="G12" s="7"/>
      <c r="H12" s="7">
        <v>1</v>
      </c>
      <c r="I12" s="7">
        <v>2</v>
      </c>
      <c r="J12" s="7"/>
      <c r="K12" s="7">
        <v>108</v>
      </c>
      <c r="L12" s="7"/>
      <c r="M12" s="7">
        <v>160</v>
      </c>
    </row>
    <row r="13" spans="1:13">
      <c r="A13" s="7" t="s">
        <v>866</v>
      </c>
      <c r="B13" s="7" t="s">
        <v>862</v>
      </c>
      <c r="C13" s="7">
        <v>30</v>
      </c>
      <c r="D13" s="7">
        <v>1</v>
      </c>
      <c r="E13" s="7">
        <v>1</v>
      </c>
      <c r="F13" s="7">
        <v>150</v>
      </c>
      <c r="G13" s="7"/>
      <c r="H13" s="7">
        <v>1</v>
      </c>
      <c r="I13" s="7">
        <v>2</v>
      </c>
      <c r="J13" s="7"/>
      <c r="K13" s="7">
        <v>108</v>
      </c>
      <c r="L13" s="7"/>
      <c r="M13" s="7">
        <v>163</v>
      </c>
    </row>
    <row r="14" spans="1:13">
      <c r="A14" s="7" t="s">
        <v>867</v>
      </c>
      <c r="B14" s="7" t="s">
        <v>862</v>
      </c>
      <c r="C14" s="7">
        <v>20</v>
      </c>
      <c r="D14" s="7">
        <v>1</v>
      </c>
      <c r="E14" s="7">
        <v>1</v>
      </c>
      <c r="F14" s="7">
        <v>150</v>
      </c>
      <c r="G14" s="7"/>
      <c r="H14" s="7">
        <v>2</v>
      </c>
      <c r="I14" s="7">
        <v>2</v>
      </c>
      <c r="J14" s="7"/>
      <c r="K14" s="7">
        <v>108</v>
      </c>
      <c r="L14" s="7"/>
      <c r="M14" s="7">
        <v>207</v>
      </c>
    </row>
    <row r="15" spans="1:13">
      <c r="A15" s="7" t="s">
        <v>868</v>
      </c>
      <c r="B15" s="7" t="s">
        <v>862</v>
      </c>
      <c r="C15" s="7">
        <v>20</v>
      </c>
      <c r="D15" s="7">
        <v>-1</v>
      </c>
      <c r="E15" s="7">
        <v>0</v>
      </c>
      <c r="F15" s="7">
        <v>150</v>
      </c>
      <c r="G15" s="7"/>
      <c r="H15" s="7">
        <v>0</v>
      </c>
      <c r="I15" s="7">
        <v>2</v>
      </c>
      <c r="J15" s="7"/>
      <c r="K15" s="7"/>
      <c r="L15" s="7"/>
      <c r="M15" s="7"/>
    </row>
    <row r="16" spans="1:13">
      <c r="A16" s="9" t="s">
        <v>869</v>
      </c>
      <c r="B16" s="10" t="s">
        <v>870</v>
      </c>
      <c r="C16" s="10">
        <v>10</v>
      </c>
      <c r="D16" s="5"/>
      <c r="E16" s="5"/>
      <c r="F16" s="5">
        <v>75</v>
      </c>
      <c r="G16" s="9"/>
      <c r="H16" s="5">
        <v>1</v>
      </c>
      <c r="I16" s="5">
        <v>1</v>
      </c>
      <c r="J16" s="5"/>
      <c r="K16" s="5"/>
      <c r="L16" s="5"/>
      <c r="M16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2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32.25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871</v>
      </c>
      <c r="B2" s="10" t="s">
        <v>854</v>
      </c>
      <c r="C2" s="10">
        <v>10</v>
      </c>
      <c r="D2" s="5">
        <v>0</v>
      </c>
      <c r="E2" s="5">
        <v>0</v>
      </c>
      <c r="F2" s="5">
        <v>75</v>
      </c>
      <c r="G2" s="9"/>
      <c r="H2" s="5">
        <v>1</v>
      </c>
      <c r="I2" s="5">
        <v>1</v>
      </c>
      <c r="J2" s="5"/>
      <c r="K2" s="5">
        <v>107</v>
      </c>
      <c r="L2" s="5"/>
      <c r="M2" s="5">
        <v>9999</v>
      </c>
    </row>
    <row r="3" spans="1:13">
      <c r="A3" s="9" t="s">
        <v>872</v>
      </c>
      <c r="B3" s="10" t="s">
        <v>854</v>
      </c>
      <c r="C3" s="9">
        <v>20</v>
      </c>
      <c r="D3" s="10">
        <v>0</v>
      </c>
      <c r="E3" s="10">
        <v>0</v>
      </c>
      <c r="F3" s="5">
        <f>F2</f>
        <v>75</v>
      </c>
      <c r="G3" s="5"/>
      <c r="H3" s="5">
        <v>1</v>
      </c>
      <c r="I3" s="5">
        <v>1</v>
      </c>
      <c r="J3" s="5"/>
      <c r="K3" s="5">
        <v>107</v>
      </c>
      <c r="L3" s="5"/>
      <c r="M3" s="5">
        <v>9999</v>
      </c>
    </row>
    <row r="4" spans="1:13">
      <c r="A4" s="9" t="s">
        <v>873</v>
      </c>
      <c r="B4" s="10" t="s">
        <v>854</v>
      </c>
      <c r="C4" s="10">
        <v>5</v>
      </c>
      <c r="D4" s="10">
        <v>0</v>
      </c>
      <c r="E4" s="10">
        <v>0</v>
      </c>
      <c r="F4" s="5">
        <f t="shared" ref="F4:F6" si="0">F3</f>
        <v>75</v>
      </c>
      <c r="G4" s="5"/>
      <c r="H4" s="5">
        <v>1</v>
      </c>
      <c r="I4" s="5">
        <v>1</v>
      </c>
      <c r="J4" s="5"/>
      <c r="K4" s="5">
        <v>107</v>
      </c>
      <c r="L4" s="5"/>
      <c r="M4" s="5">
        <v>9999</v>
      </c>
    </row>
    <row r="5" spans="1:13">
      <c r="A5" s="5" t="s">
        <v>874</v>
      </c>
      <c r="B5" s="10" t="s">
        <v>854</v>
      </c>
      <c r="C5" s="5">
        <v>40</v>
      </c>
      <c r="D5" s="5">
        <v>0</v>
      </c>
      <c r="E5" s="5">
        <v>1</v>
      </c>
      <c r="F5" s="5">
        <f t="shared" si="0"/>
        <v>75</v>
      </c>
      <c r="G5" s="5"/>
      <c r="H5" s="5">
        <v>1</v>
      </c>
      <c r="I5" s="5">
        <v>1</v>
      </c>
      <c r="J5" s="5"/>
      <c r="K5" s="5">
        <v>107</v>
      </c>
      <c r="L5" s="5"/>
      <c r="M5" s="5">
        <v>164</v>
      </c>
    </row>
    <row r="6" spans="1:13">
      <c r="A6" s="5" t="s">
        <v>875</v>
      </c>
      <c r="B6" s="10" t="s">
        <v>854</v>
      </c>
      <c r="C6" s="5">
        <v>30</v>
      </c>
      <c r="D6" s="5">
        <v>0</v>
      </c>
      <c r="E6" s="5">
        <v>0</v>
      </c>
      <c r="F6" s="5">
        <f t="shared" si="0"/>
        <v>75</v>
      </c>
      <c r="G6" s="5"/>
      <c r="H6" s="5">
        <v>1</v>
      </c>
      <c r="I6" s="5">
        <v>1</v>
      </c>
      <c r="J6" s="5"/>
      <c r="K6" s="5">
        <v>107</v>
      </c>
      <c r="L6" s="5"/>
      <c r="M6" s="5">
        <v>9999</v>
      </c>
    </row>
    <row r="7" spans="1:13">
      <c r="A7" s="5" t="s">
        <v>876</v>
      </c>
      <c r="B7" s="10" t="s">
        <v>854</v>
      </c>
      <c r="C7" s="5">
        <v>10</v>
      </c>
      <c r="D7" s="5">
        <v>0</v>
      </c>
      <c r="E7" s="5">
        <v>0</v>
      </c>
      <c r="F7" s="5">
        <f>F6</f>
        <v>75</v>
      </c>
      <c r="G7" s="5"/>
      <c r="H7" s="5">
        <v>2</v>
      </c>
      <c r="I7" s="5">
        <v>1</v>
      </c>
      <c r="J7" s="5"/>
      <c r="K7" s="5">
        <v>107</v>
      </c>
      <c r="L7" s="5"/>
      <c r="M7" s="5">
        <v>9999</v>
      </c>
    </row>
    <row r="8" spans="1:13">
      <c r="A8" s="5" t="s">
        <v>877</v>
      </c>
      <c r="B8" s="5" t="s">
        <v>854</v>
      </c>
      <c r="C8" s="5" t="s">
        <v>878</v>
      </c>
      <c r="D8" s="5">
        <v>-1</v>
      </c>
      <c r="E8" s="5">
        <v>0</v>
      </c>
      <c r="F8" s="5">
        <v>75</v>
      </c>
      <c r="G8" s="5"/>
      <c r="H8" s="5">
        <v>0</v>
      </c>
      <c r="I8" s="5">
        <v>1</v>
      </c>
      <c r="J8" s="5"/>
      <c r="K8" s="5">
        <v>107</v>
      </c>
      <c r="L8" s="5"/>
      <c r="M8" s="5">
        <v>9999</v>
      </c>
    </row>
    <row r="9" spans="1:13">
      <c r="A9" s="7" t="s">
        <v>879</v>
      </c>
      <c r="B9" s="7" t="s">
        <v>862</v>
      </c>
      <c r="C9" s="7">
        <v>40</v>
      </c>
      <c r="D9" s="7">
        <v>0</v>
      </c>
      <c r="E9" s="7">
        <v>1</v>
      </c>
      <c r="F9" s="7">
        <v>75</v>
      </c>
      <c r="G9" s="7"/>
      <c r="H9" s="7">
        <v>1</v>
      </c>
      <c r="I9" s="7">
        <v>2</v>
      </c>
      <c r="J9" s="7"/>
      <c r="K9" s="7">
        <v>107</v>
      </c>
      <c r="L9" s="7"/>
      <c r="M9" s="7">
        <v>161</v>
      </c>
    </row>
    <row r="10" spans="1:13">
      <c r="A10" s="7" t="s">
        <v>880</v>
      </c>
      <c r="B10" s="7" t="s">
        <v>862</v>
      </c>
      <c r="C10" s="7">
        <v>20</v>
      </c>
      <c r="D10" s="7">
        <v>0</v>
      </c>
      <c r="E10" s="7">
        <v>0</v>
      </c>
      <c r="F10" s="7">
        <f>F9</f>
        <v>75</v>
      </c>
      <c r="G10" s="7"/>
      <c r="H10" s="7">
        <v>1</v>
      </c>
      <c r="I10" s="7">
        <v>2</v>
      </c>
      <c r="J10" s="7"/>
      <c r="K10" s="7">
        <v>107</v>
      </c>
      <c r="L10" s="7"/>
      <c r="M10" s="7">
        <v>9999</v>
      </c>
    </row>
    <row r="11" spans="1:13">
      <c r="A11" s="7" t="s">
        <v>881</v>
      </c>
      <c r="B11" s="7" t="s">
        <v>862</v>
      </c>
      <c r="C11" s="7">
        <v>10</v>
      </c>
      <c r="D11" s="7">
        <v>0</v>
      </c>
      <c r="E11" s="7">
        <v>0</v>
      </c>
      <c r="F11" s="7">
        <f t="shared" ref="F11:F15" si="1">F10</f>
        <v>75</v>
      </c>
      <c r="G11" s="7"/>
      <c r="H11" s="7">
        <v>1</v>
      </c>
      <c r="I11" s="7">
        <v>2</v>
      </c>
      <c r="J11" s="7"/>
      <c r="K11" s="7">
        <v>107</v>
      </c>
      <c r="L11" s="7"/>
      <c r="M11" s="7">
        <v>9999</v>
      </c>
    </row>
    <row r="12" spans="1:13">
      <c r="A12" s="7" t="s">
        <v>882</v>
      </c>
      <c r="B12" s="7" t="s">
        <v>862</v>
      </c>
      <c r="C12" s="7">
        <v>5</v>
      </c>
      <c r="D12" s="7">
        <v>0</v>
      </c>
      <c r="E12" s="7">
        <v>0</v>
      </c>
      <c r="F12" s="7">
        <f t="shared" si="1"/>
        <v>75</v>
      </c>
      <c r="G12" s="7"/>
      <c r="H12" s="7">
        <v>1</v>
      </c>
      <c r="I12" s="7">
        <v>2</v>
      </c>
      <c r="J12" s="7"/>
      <c r="K12" s="7">
        <v>107</v>
      </c>
      <c r="L12" s="7"/>
      <c r="M12" s="7">
        <v>9999</v>
      </c>
    </row>
    <row r="13" spans="1:13">
      <c r="A13" s="7" t="s">
        <v>883</v>
      </c>
      <c r="B13" s="7" t="s">
        <v>862</v>
      </c>
      <c r="C13" s="7">
        <v>30</v>
      </c>
      <c r="D13" s="7">
        <v>0</v>
      </c>
      <c r="E13" s="7">
        <v>1</v>
      </c>
      <c r="F13" s="7">
        <f t="shared" si="1"/>
        <v>75</v>
      </c>
      <c r="G13" s="7"/>
      <c r="H13" s="7">
        <v>1</v>
      </c>
      <c r="I13" s="7">
        <v>2</v>
      </c>
      <c r="J13" s="7"/>
      <c r="K13" s="7">
        <v>107</v>
      </c>
      <c r="L13" s="7"/>
      <c r="M13" s="7">
        <v>189</v>
      </c>
    </row>
    <row r="14" spans="1:13">
      <c r="A14" s="7" t="s">
        <v>884</v>
      </c>
      <c r="B14" s="7" t="s">
        <v>862</v>
      </c>
      <c r="C14" s="7">
        <v>40</v>
      </c>
      <c r="D14" s="7">
        <v>0</v>
      </c>
      <c r="E14" s="7">
        <v>1</v>
      </c>
      <c r="F14" s="7">
        <f t="shared" si="1"/>
        <v>75</v>
      </c>
      <c r="G14" s="7"/>
      <c r="H14" s="7">
        <v>2</v>
      </c>
      <c r="I14" s="7">
        <v>2</v>
      </c>
      <c r="J14" s="7"/>
      <c r="K14" s="7">
        <v>107</v>
      </c>
      <c r="L14" s="7"/>
      <c r="M14" s="7">
        <v>163</v>
      </c>
    </row>
    <row r="15" spans="1:13">
      <c r="A15" s="7" t="s">
        <v>885</v>
      </c>
      <c r="B15" s="7" t="s">
        <v>862</v>
      </c>
      <c r="C15" s="7" t="s">
        <v>878</v>
      </c>
      <c r="D15" s="7">
        <v>-1</v>
      </c>
      <c r="E15" s="7">
        <v>0</v>
      </c>
      <c r="F15" s="7">
        <f t="shared" si="1"/>
        <v>75</v>
      </c>
      <c r="G15" s="7"/>
      <c r="H15" s="7">
        <v>0</v>
      </c>
      <c r="I15" s="7">
        <v>2</v>
      </c>
      <c r="J15" s="7"/>
      <c r="K15" s="7">
        <v>107</v>
      </c>
      <c r="L15" s="7"/>
      <c r="M15" s="7">
        <v>9999</v>
      </c>
    </row>
    <row r="16" spans="1:13">
      <c r="A16" s="9" t="s">
        <v>886</v>
      </c>
      <c r="B16" s="10" t="s">
        <v>870</v>
      </c>
      <c r="C16" s="10">
        <v>10</v>
      </c>
      <c r="D16" s="5">
        <v>0</v>
      </c>
      <c r="E16" s="5">
        <v>0</v>
      </c>
      <c r="F16" s="5">
        <v>75</v>
      </c>
      <c r="G16" s="9"/>
      <c r="H16" s="5">
        <v>1</v>
      </c>
      <c r="I16" s="5">
        <v>1</v>
      </c>
      <c r="J16" s="5"/>
      <c r="K16" s="5">
        <v>107</v>
      </c>
      <c r="L16" s="5"/>
      <c r="M16" s="5">
        <v>9999</v>
      </c>
    </row>
    <row r="17" spans="1:13">
      <c r="A17" s="9" t="s">
        <v>887</v>
      </c>
      <c r="B17" s="10" t="str">
        <f>B16</f>
        <v>ID3</v>
      </c>
      <c r="C17" s="9">
        <v>5</v>
      </c>
      <c r="D17" s="10">
        <v>0</v>
      </c>
      <c r="E17" s="10">
        <v>0</v>
      </c>
      <c r="F17" s="5">
        <f>F16</f>
        <v>75</v>
      </c>
      <c r="G17" s="5"/>
      <c r="H17" s="5">
        <v>1</v>
      </c>
      <c r="I17" s="5">
        <v>1</v>
      </c>
      <c r="J17" s="5"/>
      <c r="K17" s="5">
        <v>107</v>
      </c>
      <c r="L17" s="5"/>
      <c r="M17" s="5">
        <v>9999</v>
      </c>
    </row>
    <row r="18" spans="1:13">
      <c r="A18" s="9" t="s">
        <v>888</v>
      </c>
      <c r="B18" s="10" t="str">
        <f t="shared" ref="B18:B22" si="2">B17</f>
        <v>ID3</v>
      </c>
      <c r="C18" s="10">
        <v>40</v>
      </c>
      <c r="D18" s="10">
        <v>0</v>
      </c>
      <c r="E18" s="10">
        <v>1</v>
      </c>
      <c r="F18" s="5">
        <f t="shared" ref="F18:F20" si="3">F17</f>
        <v>75</v>
      </c>
      <c r="G18" s="5"/>
      <c r="H18" s="5">
        <v>1</v>
      </c>
      <c r="I18" s="5">
        <v>1</v>
      </c>
      <c r="J18" s="5"/>
      <c r="K18" s="5">
        <v>107</v>
      </c>
      <c r="L18" s="5"/>
      <c r="M18" s="5">
        <v>718</v>
      </c>
    </row>
    <row r="19" spans="1:13">
      <c r="A19" s="5" t="s">
        <v>889</v>
      </c>
      <c r="B19" s="10" t="str">
        <f t="shared" si="2"/>
        <v>ID3</v>
      </c>
      <c r="C19" s="5">
        <v>20</v>
      </c>
      <c r="D19" s="5">
        <v>0</v>
      </c>
      <c r="E19" s="5">
        <v>0</v>
      </c>
      <c r="F19" s="5">
        <f t="shared" si="3"/>
        <v>75</v>
      </c>
      <c r="G19" s="5"/>
      <c r="H19" s="5">
        <v>1</v>
      </c>
      <c r="I19" s="5">
        <v>1</v>
      </c>
      <c r="J19" s="5"/>
      <c r="K19" s="5">
        <v>107</v>
      </c>
      <c r="L19" s="5"/>
      <c r="M19" s="5">
        <v>9999</v>
      </c>
    </row>
    <row r="20" spans="1:13">
      <c r="A20" s="5" t="s">
        <v>890</v>
      </c>
      <c r="B20" s="10" t="str">
        <f t="shared" si="2"/>
        <v>ID3</v>
      </c>
      <c r="C20" s="5">
        <v>30</v>
      </c>
      <c r="D20" s="5">
        <v>0</v>
      </c>
      <c r="E20" s="5">
        <v>0</v>
      </c>
      <c r="F20" s="5">
        <f t="shared" si="3"/>
        <v>75</v>
      </c>
      <c r="G20" s="5"/>
      <c r="H20" s="5">
        <v>1</v>
      </c>
      <c r="I20" s="5">
        <v>1</v>
      </c>
      <c r="J20" s="5"/>
      <c r="K20" s="5">
        <v>107</v>
      </c>
      <c r="L20" s="5"/>
      <c r="M20" s="5">
        <v>9999</v>
      </c>
    </row>
    <row r="21" spans="1:13">
      <c r="A21" s="5" t="s">
        <v>891</v>
      </c>
      <c r="B21" s="10" t="str">
        <f t="shared" si="2"/>
        <v>ID3</v>
      </c>
      <c r="C21" s="5">
        <v>10</v>
      </c>
      <c r="D21" s="5">
        <v>0</v>
      </c>
      <c r="E21" s="5">
        <v>0</v>
      </c>
      <c r="F21" s="5">
        <f>F20</f>
        <v>75</v>
      </c>
      <c r="G21" s="5"/>
      <c r="H21" s="5">
        <v>2</v>
      </c>
      <c r="I21" s="5">
        <v>1</v>
      </c>
      <c r="J21" s="5"/>
      <c r="K21" s="5">
        <v>107</v>
      </c>
      <c r="L21" s="5"/>
      <c r="M21" s="5">
        <v>9999</v>
      </c>
    </row>
    <row r="22" spans="1:13">
      <c r="A22" s="5" t="s">
        <v>892</v>
      </c>
      <c r="B22" s="10" t="str">
        <f t="shared" si="2"/>
        <v>ID3</v>
      </c>
      <c r="C22" s="5" t="s">
        <v>878</v>
      </c>
      <c r="D22" s="5">
        <v>-1</v>
      </c>
      <c r="E22" s="5">
        <v>0</v>
      </c>
      <c r="F22" s="5">
        <v>75</v>
      </c>
      <c r="G22" s="5"/>
      <c r="H22" s="5">
        <v>0</v>
      </c>
      <c r="I22" s="5">
        <v>1</v>
      </c>
      <c r="J22" s="5"/>
      <c r="K22" s="5">
        <v>107</v>
      </c>
      <c r="L22" s="5"/>
      <c r="M22" s="5">
        <v>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8"/>
  <sheetViews>
    <sheetView workbookViewId="0">
      <selection activeCell="G1" sqref="G1:G1048576"/>
    </sheetView>
  </sheetViews>
  <sheetFormatPr baseColWidth="10" defaultColWidth="9.125" defaultRowHeight="14.25"/>
  <cols>
    <col min="1" max="1" width="53.75" style="1" bestFit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9.625" style="1" bestFit="1" customWidth="1"/>
    <col min="8" max="8" width="5.875" style="1" bestFit="1" customWidth="1"/>
    <col min="9" max="9" width="3.25" style="1" bestFit="1" customWidth="1"/>
    <col min="10" max="10" width="6.75" style="1" bestFit="1" customWidth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</row>
    <row r="2" spans="1:13">
      <c r="A2" s="9" t="s">
        <v>944</v>
      </c>
      <c r="B2" s="10" t="s">
        <v>854</v>
      </c>
      <c r="C2" s="10">
        <v>20</v>
      </c>
      <c r="D2" s="5">
        <v>1</v>
      </c>
      <c r="E2" s="5">
        <v>1</v>
      </c>
      <c r="F2" s="5">
        <v>150</v>
      </c>
      <c r="G2" s="9"/>
      <c r="H2" s="5">
        <v>1</v>
      </c>
      <c r="I2" s="5">
        <v>1</v>
      </c>
      <c r="J2" s="5"/>
      <c r="K2" s="5">
        <v>108</v>
      </c>
      <c r="L2" s="5"/>
      <c r="M2" s="5">
        <v>208</v>
      </c>
    </row>
    <row r="3" spans="1:13">
      <c r="A3" s="9" t="s">
        <v>945</v>
      </c>
      <c r="B3" s="10" t="s">
        <v>854</v>
      </c>
      <c r="C3" s="9">
        <v>5</v>
      </c>
      <c r="D3" s="10">
        <v>0</v>
      </c>
      <c r="E3" s="10">
        <v>0</v>
      </c>
      <c r="F3" s="5">
        <f>F2</f>
        <v>150</v>
      </c>
      <c r="G3" s="5"/>
      <c r="H3" s="5">
        <v>1</v>
      </c>
      <c r="I3" s="5">
        <v>1</v>
      </c>
      <c r="J3" s="5"/>
      <c r="K3" s="5">
        <v>107</v>
      </c>
      <c r="L3" s="5"/>
      <c r="M3" s="5">
        <v>9999</v>
      </c>
    </row>
    <row r="4" spans="1:13">
      <c r="A4" s="9" t="s">
        <v>946</v>
      </c>
      <c r="B4" s="10" t="s">
        <v>854</v>
      </c>
      <c r="C4" s="10">
        <v>40</v>
      </c>
      <c r="D4" s="10">
        <v>1</v>
      </c>
      <c r="E4" s="10">
        <v>1</v>
      </c>
      <c r="F4" s="5">
        <f t="shared" ref="F4:F6" si="0">F3</f>
        <v>150</v>
      </c>
      <c r="G4" s="5"/>
      <c r="H4" s="5">
        <v>1</v>
      </c>
      <c r="I4" s="5">
        <v>1</v>
      </c>
      <c r="J4" s="5"/>
      <c r="K4" s="5">
        <v>108</v>
      </c>
      <c r="L4" s="5"/>
      <c r="M4" s="5">
        <v>144</v>
      </c>
    </row>
    <row r="5" spans="1:13">
      <c r="A5" s="5" t="s">
        <v>947</v>
      </c>
      <c r="B5" s="10" t="s">
        <v>854</v>
      </c>
      <c r="C5" s="5">
        <v>10</v>
      </c>
      <c r="D5" s="5">
        <v>1</v>
      </c>
      <c r="E5" s="5">
        <v>1</v>
      </c>
      <c r="F5" s="5">
        <f t="shared" si="0"/>
        <v>150</v>
      </c>
      <c r="G5" s="5"/>
      <c r="H5" s="5">
        <v>1</v>
      </c>
      <c r="I5" s="5">
        <v>1</v>
      </c>
      <c r="J5" s="5"/>
      <c r="K5" s="5">
        <v>109</v>
      </c>
      <c r="L5" s="5"/>
      <c r="M5" s="5">
        <v>309</v>
      </c>
    </row>
    <row r="6" spans="1:13">
      <c r="A6" s="5" t="s">
        <v>949</v>
      </c>
      <c r="B6" s="10" t="s">
        <v>854</v>
      </c>
      <c r="C6" s="5">
        <v>30</v>
      </c>
      <c r="D6" s="5">
        <v>1</v>
      </c>
      <c r="E6" s="5">
        <v>1</v>
      </c>
      <c r="F6" s="5">
        <f t="shared" si="0"/>
        <v>150</v>
      </c>
      <c r="G6" s="5"/>
      <c r="H6" s="5">
        <v>1</v>
      </c>
      <c r="I6" s="5">
        <v>1</v>
      </c>
      <c r="J6" s="5"/>
      <c r="K6" s="5">
        <v>108</v>
      </c>
      <c r="L6" s="5"/>
      <c r="M6" s="5">
        <v>173</v>
      </c>
    </row>
    <row r="7" spans="1:13">
      <c r="A7" s="5" t="s">
        <v>948</v>
      </c>
      <c r="B7" s="10" t="s">
        <v>854</v>
      </c>
      <c r="C7" s="5">
        <v>20</v>
      </c>
      <c r="D7" s="5">
        <v>1</v>
      </c>
      <c r="E7" s="5">
        <v>1</v>
      </c>
      <c r="F7" s="5">
        <f>F6</f>
        <v>150</v>
      </c>
      <c r="G7" s="5"/>
      <c r="H7" s="5">
        <v>2</v>
      </c>
      <c r="I7" s="5">
        <v>1</v>
      </c>
      <c r="J7" s="5"/>
      <c r="K7" s="5">
        <v>107</v>
      </c>
      <c r="L7" s="5"/>
      <c r="M7" s="5">
        <v>199</v>
      </c>
    </row>
    <row r="8" spans="1:13">
      <c r="A8" s="5" t="s">
        <v>950</v>
      </c>
      <c r="B8" s="5" t="s">
        <v>854</v>
      </c>
      <c r="C8" s="5">
        <v>20</v>
      </c>
      <c r="D8" s="5" t="s">
        <v>951</v>
      </c>
      <c r="E8" s="5">
        <v>0</v>
      </c>
      <c r="F8" s="5">
        <v>150</v>
      </c>
      <c r="G8" s="5"/>
      <c r="H8" s="5">
        <v>0</v>
      </c>
      <c r="I8" s="5">
        <v>1</v>
      </c>
      <c r="J8" s="5"/>
      <c r="K8" s="5">
        <v>107</v>
      </c>
      <c r="L8" s="5"/>
      <c r="M8" s="5">
        <v>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4"/>
  <sheetViews>
    <sheetView topLeftCell="B1"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32.25" style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N1" s="1" t="s">
        <v>973</v>
      </c>
      <c r="O1" s="1" t="s">
        <v>974</v>
      </c>
    </row>
    <row r="2" spans="1:15">
      <c r="A2" s="9" t="s">
        <v>952</v>
      </c>
      <c r="B2" s="10" t="s">
        <v>854</v>
      </c>
      <c r="C2" s="10">
        <v>40</v>
      </c>
      <c r="D2" s="5">
        <v>1</v>
      </c>
      <c r="E2" s="5">
        <v>1</v>
      </c>
      <c r="F2" s="5">
        <v>250</v>
      </c>
      <c r="G2" s="9"/>
      <c r="H2" s="5">
        <v>1</v>
      </c>
      <c r="I2" s="5">
        <v>1</v>
      </c>
      <c r="J2" s="5"/>
      <c r="K2" s="5">
        <v>107</v>
      </c>
      <c r="L2" s="5"/>
      <c r="M2" s="5">
        <v>131</v>
      </c>
    </row>
    <row r="3" spans="1:15">
      <c r="A3" s="9" t="s">
        <v>953</v>
      </c>
      <c r="B3" s="10" t="s">
        <v>854</v>
      </c>
      <c r="C3" s="9">
        <v>10</v>
      </c>
      <c r="D3" s="10">
        <v>1</v>
      </c>
      <c r="E3" s="10">
        <v>1</v>
      </c>
      <c r="F3" s="5">
        <v>250</v>
      </c>
      <c r="G3" s="5"/>
      <c r="H3" s="5">
        <v>1</v>
      </c>
      <c r="I3" s="5">
        <v>1</v>
      </c>
      <c r="J3" s="5"/>
      <c r="K3" s="5">
        <v>107</v>
      </c>
      <c r="L3" s="5"/>
      <c r="M3" s="5">
        <v>315</v>
      </c>
    </row>
    <row r="4" spans="1:15">
      <c r="A4" s="9" t="s">
        <v>954</v>
      </c>
      <c r="B4" s="10" t="s">
        <v>854</v>
      </c>
      <c r="C4" s="10">
        <v>40</v>
      </c>
      <c r="D4" s="10">
        <v>1</v>
      </c>
      <c r="E4" s="10">
        <v>1</v>
      </c>
      <c r="F4" s="5">
        <v>150</v>
      </c>
      <c r="G4" s="5"/>
      <c r="H4" s="5">
        <v>1</v>
      </c>
      <c r="I4" s="5">
        <v>1</v>
      </c>
      <c r="J4" s="5"/>
      <c r="K4" s="5">
        <v>107</v>
      </c>
      <c r="L4" s="5"/>
      <c r="M4" s="5">
        <v>161</v>
      </c>
    </row>
    <row r="5" spans="1:15">
      <c r="A5" s="5" t="s">
        <v>955</v>
      </c>
      <c r="B5" s="10" t="s">
        <v>854</v>
      </c>
      <c r="C5" s="5">
        <v>10</v>
      </c>
      <c r="D5" s="5">
        <v>0</v>
      </c>
      <c r="E5" s="5">
        <v>0</v>
      </c>
      <c r="F5" s="5">
        <v>150</v>
      </c>
      <c r="G5" s="5"/>
      <c r="H5" s="5">
        <v>1</v>
      </c>
      <c r="I5" s="5">
        <v>1</v>
      </c>
      <c r="J5" s="5"/>
      <c r="K5" s="5">
        <v>107</v>
      </c>
      <c r="L5" s="5"/>
      <c r="M5" s="5">
        <v>9999</v>
      </c>
    </row>
    <row r="6" spans="1:15">
      <c r="A6" s="5" t="s">
        <v>956</v>
      </c>
      <c r="B6" s="10" t="s">
        <v>854</v>
      </c>
      <c r="C6" s="5">
        <v>40</v>
      </c>
      <c r="D6" s="5">
        <v>1</v>
      </c>
      <c r="E6" s="5">
        <v>1</v>
      </c>
      <c r="F6" s="5">
        <v>75</v>
      </c>
      <c r="G6" s="5"/>
      <c r="H6" s="5">
        <v>1</v>
      </c>
      <c r="I6" s="5">
        <v>1</v>
      </c>
      <c r="J6" s="5"/>
      <c r="K6" s="5">
        <v>107</v>
      </c>
      <c r="L6" s="5"/>
      <c r="M6" s="5">
        <v>156</v>
      </c>
    </row>
    <row r="7" spans="1:15">
      <c r="A7" s="5" t="s">
        <v>958</v>
      </c>
      <c r="B7" s="10" t="s">
        <v>854</v>
      </c>
      <c r="C7" s="5">
        <v>10</v>
      </c>
      <c r="D7" s="5">
        <v>0</v>
      </c>
      <c r="E7" s="5">
        <v>0</v>
      </c>
      <c r="F7" s="5">
        <v>75</v>
      </c>
      <c r="G7" s="5"/>
      <c r="H7" s="5">
        <v>1</v>
      </c>
      <c r="I7" s="5">
        <v>1</v>
      </c>
      <c r="J7" s="5"/>
      <c r="K7" s="5">
        <v>107</v>
      </c>
      <c r="L7" s="5"/>
      <c r="M7" s="5">
        <v>9999</v>
      </c>
    </row>
    <row r="8" spans="1:15">
      <c r="A8" s="9" t="s">
        <v>957</v>
      </c>
      <c r="B8" s="10" t="s">
        <v>854</v>
      </c>
      <c r="C8" s="5">
        <v>40</v>
      </c>
      <c r="D8" s="5">
        <v>1</v>
      </c>
      <c r="E8" s="5">
        <v>1</v>
      </c>
      <c r="F8" s="5">
        <v>250</v>
      </c>
      <c r="G8" s="5"/>
      <c r="H8" s="5">
        <v>2</v>
      </c>
      <c r="I8" s="5">
        <v>1</v>
      </c>
      <c r="J8" s="5"/>
      <c r="K8" s="5">
        <v>107</v>
      </c>
      <c r="L8" s="5"/>
      <c r="M8" s="5">
        <v>141</v>
      </c>
    </row>
    <row r="9" spans="1:15">
      <c r="A9" s="5" t="s">
        <v>959</v>
      </c>
      <c r="B9" s="5" t="s">
        <v>854</v>
      </c>
      <c r="C9" s="5">
        <v>10</v>
      </c>
      <c r="D9" s="5">
        <v>1</v>
      </c>
      <c r="E9" s="5">
        <v>1</v>
      </c>
      <c r="F9" s="5">
        <v>250</v>
      </c>
      <c r="G9" s="5"/>
      <c r="H9" s="5">
        <v>2</v>
      </c>
      <c r="I9" s="5">
        <v>1</v>
      </c>
      <c r="J9" s="5"/>
      <c r="K9" s="5">
        <v>107</v>
      </c>
      <c r="L9" s="5"/>
      <c r="M9" s="5">
        <v>280</v>
      </c>
    </row>
    <row r="10" spans="1:15">
      <c r="A10" s="5" t="s">
        <v>961</v>
      </c>
      <c r="B10" s="5" t="s">
        <v>854</v>
      </c>
      <c r="C10" s="5">
        <v>40</v>
      </c>
      <c r="D10" s="5">
        <v>1</v>
      </c>
      <c r="E10" s="5">
        <v>1</v>
      </c>
      <c r="F10" s="5">
        <v>150</v>
      </c>
      <c r="G10" s="5"/>
      <c r="H10" s="5">
        <v>3</v>
      </c>
      <c r="I10" s="5">
        <v>1</v>
      </c>
      <c r="J10" s="5"/>
      <c r="K10" s="5">
        <v>107</v>
      </c>
      <c r="L10" s="5"/>
      <c r="M10" s="5">
        <v>152</v>
      </c>
    </row>
    <row r="11" spans="1:15">
      <c r="A11" s="5" t="s">
        <v>962</v>
      </c>
      <c r="B11" s="5" t="s">
        <v>854</v>
      </c>
      <c r="C11" s="5">
        <v>10</v>
      </c>
      <c r="D11" s="5">
        <v>1</v>
      </c>
      <c r="E11" s="5">
        <v>1</v>
      </c>
      <c r="F11" s="5">
        <v>150</v>
      </c>
      <c r="G11" s="5"/>
      <c r="H11" s="5">
        <v>3</v>
      </c>
      <c r="I11" s="5">
        <v>1</v>
      </c>
      <c r="J11" s="5"/>
      <c r="K11" s="5">
        <v>107</v>
      </c>
      <c r="L11" s="5"/>
      <c r="M11" s="5">
        <v>263</v>
      </c>
    </row>
    <row r="12" spans="1:15">
      <c r="A12" s="7" t="s">
        <v>963</v>
      </c>
      <c r="B12" s="7" t="s">
        <v>862</v>
      </c>
      <c r="C12" s="7">
        <v>40</v>
      </c>
      <c r="D12" s="7">
        <v>1</v>
      </c>
      <c r="E12" s="7">
        <v>1</v>
      </c>
      <c r="F12" s="7">
        <v>150</v>
      </c>
      <c r="G12" s="7"/>
      <c r="H12" s="7">
        <v>1</v>
      </c>
      <c r="I12" s="7">
        <v>2</v>
      </c>
      <c r="J12" s="7"/>
      <c r="K12" s="7">
        <v>107</v>
      </c>
      <c r="L12" s="7"/>
      <c r="M12" s="7">
        <v>152</v>
      </c>
      <c r="N12" s="7">
        <v>41.283999999999999</v>
      </c>
      <c r="O12" s="7">
        <v>38.417000000000002</v>
      </c>
    </row>
    <row r="13" spans="1:15">
      <c r="A13" s="7" t="s">
        <v>964</v>
      </c>
      <c r="B13" s="7" t="str">
        <f>B12</f>
        <v>ID2</v>
      </c>
      <c r="C13" s="7">
        <v>10</v>
      </c>
      <c r="D13" s="7">
        <v>0</v>
      </c>
      <c r="E13" s="7">
        <v>1</v>
      </c>
      <c r="F13" s="7">
        <v>150</v>
      </c>
      <c r="G13" s="7"/>
      <c r="H13" s="7">
        <v>1</v>
      </c>
      <c r="I13" s="7">
        <v>2</v>
      </c>
      <c r="J13" s="7"/>
      <c r="K13" s="7">
        <v>107</v>
      </c>
      <c r="L13" s="7"/>
      <c r="M13" s="7">
        <v>700</v>
      </c>
    </row>
    <row r="14" spans="1:15">
      <c r="A14" s="7" t="s">
        <v>965</v>
      </c>
      <c r="B14" s="7" t="str">
        <f t="shared" ref="B14:B19" si="0">B13</f>
        <v>ID2</v>
      </c>
      <c r="C14" s="7">
        <v>40</v>
      </c>
      <c r="D14" s="7">
        <v>1</v>
      </c>
      <c r="E14" s="7">
        <v>1</v>
      </c>
      <c r="F14" s="7">
        <v>75</v>
      </c>
      <c r="G14" s="7"/>
      <c r="H14" s="7">
        <v>1</v>
      </c>
      <c r="I14" s="7">
        <v>2</v>
      </c>
      <c r="J14" s="7"/>
      <c r="K14" s="7">
        <v>107</v>
      </c>
      <c r="L14" s="7"/>
      <c r="M14" s="7">
        <v>155</v>
      </c>
    </row>
    <row r="15" spans="1:15">
      <c r="A15" s="7" t="s">
        <v>967</v>
      </c>
      <c r="B15" s="7" t="str">
        <f t="shared" si="0"/>
        <v>ID2</v>
      </c>
      <c r="C15" s="7">
        <v>10</v>
      </c>
      <c r="D15" s="7">
        <v>0</v>
      </c>
      <c r="E15" s="7">
        <v>0</v>
      </c>
      <c r="F15" s="7">
        <v>75</v>
      </c>
      <c r="G15" s="7"/>
      <c r="H15" s="7">
        <v>1</v>
      </c>
      <c r="I15" s="7">
        <v>2</v>
      </c>
      <c r="J15" s="7"/>
      <c r="K15" s="7">
        <v>107</v>
      </c>
      <c r="L15" s="7"/>
      <c r="M15" s="7">
        <v>9999</v>
      </c>
    </row>
    <row r="16" spans="1:15">
      <c r="A16" s="7" t="s">
        <v>968</v>
      </c>
      <c r="B16" s="7" t="str">
        <f t="shared" si="0"/>
        <v>ID2</v>
      </c>
      <c r="C16" s="7">
        <v>40</v>
      </c>
      <c r="D16" s="7">
        <v>1</v>
      </c>
      <c r="E16" s="7">
        <v>1</v>
      </c>
      <c r="F16" s="7">
        <v>250</v>
      </c>
      <c r="G16" s="7"/>
      <c r="H16" s="7">
        <v>1</v>
      </c>
      <c r="I16" s="7">
        <v>2</v>
      </c>
      <c r="J16" s="7"/>
      <c r="K16" s="7">
        <v>107</v>
      </c>
      <c r="L16" s="7"/>
      <c r="M16" s="7">
        <v>131</v>
      </c>
    </row>
    <row r="17" spans="1:15">
      <c r="A17" s="7" t="s">
        <v>969</v>
      </c>
      <c r="B17" s="7" t="str">
        <f t="shared" si="0"/>
        <v>ID2</v>
      </c>
      <c r="C17" s="7">
        <v>10</v>
      </c>
      <c r="D17" s="7">
        <v>1</v>
      </c>
      <c r="E17" s="7">
        <v>1</v>
      </c>
      <c r="F17" s="7">
        <v>250</v>
      </c>
      <c r="G17" s="7"/>
      <c r="H17" s="7">
        <v>1</v>
      </c>
      <c r="I17" s="7">
        <v>2</v>
      </c>
      <c r="J17" s="7"/>
      <c r="K17" s="7">
        <v>107</v>
      </c>
      <c r="L17" s="7"/>
      <c r="M17" s="7">
        <v>286</v>
      </c>
    </row>
    <row r="18" spans="1:15">
      <c r="A18" s="7" t="s">
        <v>971</v>
      </c>
      <c r="B18" s="7" t="str">
        <f>B15</f>
        <v>ID2</v>
      </c>
      <c r="C18" s="7">
        <v>40</v>
      </c>
      <c r="D18" s="7">
        <v>1</v>
      </c>
      <c r="E18" s="7">
        <v>1</v>
      </c>
      <c r="F18" s="7">
        <v>150</v>
      </c>
      <c r="G18" s="7"/>
      <c r="H18" s="7">
        <v>2</v>
      </c>
      <c r="I18" s="7">
        <v>2</v>
      </c>
      <c r="J18" s="7"/>
      <c r="K18" s="7">
        <v>107</v>
      </c>
      <c r="L18" s="7"/>
      <c r="M18" s="7">
        <v>149</v>
      </c>
    </row>
    <row r="19" spans="1:15">
      <c r="A19" s="7" t="s">
        <v>970</v>
      </c>
      <c r="B19" s="7" t="str">
        <f t="shared" si="0"/>
        <v>ID2</v>
      </c>
      <c r="C19" s="7">
        <v>10</v>
      </c>
      <c r="D19" s="7">
        <v>0</v>
      </c>
      <c r="E19" s="7">
        <v>0</v>
      </c>
      <c r="F19" s="7">
        <v>150</v>
      </c>
      <c r="G19" s="7"/>
      <c r="H19" s="7">
        <v>2</v>
      </c>
      <c r="I19" s="7">
        <v>2</v>
      </c>
      <c r="J19" s="7"/>
      <c r="K19" s="7">
        <v>107</v>
      </c>
      <c r="L19" s="7"/>
      <c r="M19" s="7">
        <v>9999</v>
      </c>
    </row>
    <row r="20" spans="1:15">
      <c r="A20" s="9" t="s">
        <v>972</v>
      </c>
      <c r="B20" s="10" t="s">
        <v>870</v>
      </c>
      <c r="C20" s="10">
        <v>40</v>
      </c>
      <c r="D20" s="5">
        <v>1</v>
      </c>
      <c r="E20" s="5">
        <v>1</v>
      </c>
      <c r="F20" s="5">
        <v>75</v>
      </c>
      <c r="G20" s="9"/>
      <c r="H20" s="5">
        <v>1</v>
      </c>
      <c r="I20" s="5">
        <v>3</v>
      </c>
      <c r="J20" s="5"/>
      <c r="K20" s="5">
        <v>107</v>
      </c>
      <c r="L20" s="5"/>
      <c r="M20" s="5">
        <v>161</v>
      </c>
      <c r="N20" s="5">
        <v>41.677999999999997</v>
      </c>
      <c r="O20" s="5">
        <v>39.36</v>
      </c>
    </row>
    <row r="21" spans="1:15">
      <c r="A21" s="9" t="s">
        <v>975</v>
      </c>
      <c r="B21" s="10" t="s">
        <v>870</v>
      </c>
      <c r="C21" s="9">
        <v>10</v>
      </c>
      <c r="D21" s="10">
        <v>0</v>
      </c>
      <c r="E21" s="10">
        <v>0</v>
      </c>
      <c r="F21" s="5">
        <v>75</v>
      </c>
      <c r="G21" s="5"/>
      <c r="H21" s="5">
        <v>1</v>
      </c>
      <c r="I21" s="5">
        <v>3</v>
      </c>
      <c r="J21" s="5"/>
      <c r="K21" s="5">
        <v>107</v>
      </c>
      <c r="L21" s="5"/>
      <c r="M21" s="5">
        <v>9999</v>
      </c>
      <c r="N21" s="5">
        <v>40.853999999999999</v>
      </c>
      <c r="O21" s="5">
        <v>38.959000000000003</v>
      </c>
    </row>
    <row r="22" spans="1:15">
      <c r="A22" s="9" t="s">
        <v>976</v>
      </c>
      <c r="B22" s="10" t="s">
        <v>870</v>
      </c>
      <c r="C22" s="10">
        <v>40</v>
      </c>
      <c r="D22" s="10">
        <v>1</v>
      </c>
      <c r="E22" s="10">
        <v>1</v>
      </c>
      <c r="F22" s="5">
        <v>250</v>
      </c>
      <c r="G22" s="5"/>
      <c r="H22" s="5">
        <v>1</v>
      </c>
      <c r="I22" s="5">
        <v>3</v>
      </c>
      <c r="J22" s="5"/>
      <c r="K22" s="5">
        <v>107</v>
      </c>
      <c r="L22" s="5"/>
      <c r="M22" s="5">
        <v>155</v>
      </c>
      <c r="N22" s="1">
        <v>40.1</v>
      </c>
      <c r="O22" s="1">
        <v>38.692999999999998</v>
      </c>
    </row>
    <row r="23" spans="1:15">
      <c r="A23" s="5" t="s">
        <v>977</v>
      </c>
      <c r="B23" s="10" t="s">
        <v>870</v>
      </c>
      <c r="C23" s="5">
        <v>10</v>
      </c>
      <c r="D23" s="5">
        <v>0</v>
      </c>
      <c r="E23" s="5">
        <v>0</v>
      </c>
      <c r="F23" s="5">
        <v>250</v>
      </c>
      <c r="G23" s="5"/>
      <c r="H23" s="5">
        <v>1</v>
      </c>
      <c r="I23" s="5">
        <v>3</v>
      </c>
      <c r="J23" s="5"/>
      <c r="K23" s="5">
        <v>107</v>
      </c>
      <c r="L23" s="5"/>
      <c r="M23" s="5">
        <v>9999</v>
      </c>
    </row>
    <row r="24" spans="1:15">
      <c r="A24" s="5" t="s">
        <v>978</v>
      </c>
      <c r="B24" s="10" t="s">
        <v>870</v>
      </c>
      <c r="C24" s="5">
        <v>40</v>
      </c>
      <c r="D24" s="5">
        <v>1</v>
      </c>
      <c r="E24" s="5">
        <v>1</v>
      </c>
      <c r="F24" s="5">
        <v>150</v>
      </c>
      <c r="G24" s="5"/>
      <c r="H24" s="5">
        <v>1</v>
      </c>
      <c r="I24" s="5">
        <v>3</v>
      </c>
      <c r="J24" s="5"/>
      <c r="K24" s="5">
        <v>107</v>
      </c>
      <c r="L24" s="5"/>
      <c r="M24" s="5">
        <v>150</v>
      </c>
    </row>
    <row r="25" spans="1:15">
      <c r="A25" s="5" t="s">
        <v>979</v>
      </c>
      <c r="B25" s="10" t="s">
        <v>870</v>
      </c>
      <c r="C25" s="5">
        <v>10</v>
      </c>
      <c r="D25" s="5">
        <v>0</v>
      </c>
      <c r="E25" s="5">
        <v>0</v>
      </c>
      <c r="F25" s="5">
        <v>150</v>
      </c>
      <c r="G25" s="5"/>
      <c r="H25" s="5">
        <v>1</v>
      </c>
      <c r="I25" s="5">
        <v>3</v>
      </c>
      <c r="J25" s="5"/>
      <c r="K25" s="5">
        <v>107</v>
      </c>
      <c r="L25" s="5"/>
      <c r="M25" s="5">
        <v>9999</v>
      </c>
    </row>
    <row r="26" spans="1:15">
      <c r="A26" s="9" t="s">
        <v>981</v>
      </c>
      <c r="B26" s="10" t="s">
        <v>870</v>
      </c>
      <c r="C26" s="5">
        <v>40</v>
      </c>
      <c r="D26" s="5">
        <v>1</v>
      </c>
      <c r="E26" s="5">
        <v>0</v>
      </c>
      <c r="F26" s="5">
        <v>75</v>
      </c>
      <c r="G26" s="5"/>
      <c r="H26" s="5">
        <v>2</v>
      </c>
      <c r="I26" s="5">
        <v>3</v>
      </c>
      <c r="J26" s="5"/>
      <c r="K26" s="5">
        <v>107</v>
      </c>
      <c r="L26" s="5"/>
      <c r="M26" s="5">
        <v>161</v>
      </c>
    </row>
    <row r="27" spans="1:15">
      <c r="A27" s="5" t="s">
        <v>980</v>
      </c>
      <c r="B27" s="10" t="s">
        <v>870</v>
      </c>
      <c r="C27" s="5">
        <v>10</v>
      </c>
      <c r="D27" s="5">
        <v>0</v>
      </c>
      <c r="E27" s="5">
        <v>0</v>
      </c>
      <c r="F27" s="5">
        <v>75</v>
      </c>
      <c r="G27" s="5"/>
      <c r="H27" s="5">
        <v>2</v>
      </c>
      <c r="I27" s="5">
        <v>3</v>
      </c>
      <c r="J27" s="5"/>
      <c r="K27" s="5">
        <v>107</v>
      </c>
      <c r="L27" s="5"/>
      <c r="M27" s="5">
        <v>9999</v>
      </c>
    </row>
    <row r="28" spans="1:15">
      <c r="A28" s="7" t="s">
        <v>983</v>
      </c>
      <c r="B28" s="7" t="s">
        <v>982</v>
      </c>
      <c r="C28" s="7">
        <v>20</v>
      </c>
      <c r="D28" s="7">
        <v>1</v>
      </c>
      <c r="E28" s="7">
        <v>1</v>
      </c>
      <c r="F28" s="7">
        <v>250</v>
      </c>
      <c r="G28" s="7"/>
      <c r="H28" s="7">
        <v>1</v>
      </c>
      <c r="I28" s="7">
        <v>4</v>
      </c>
      <c r="J28" s="7"/>
      <c r="K28" s="7">
        <v>107</v>
      </c>
      <c r="L28" s="7"/>
      <c r="M28" s="7">
        <v>159</v>
      </c>
    </row>
    <row r="29" spans="1:15">
      <c r="A29" s="7" t="s">
        <v>985</v>
      </c>
      <c r="B29" s="7" t="s">
        <v>982</v>
      </c>
      <c r="C29" s="7">
        <v>5</v>
      </c>
      <c r="D29" s="7">
        <v>1</v>
      </c>
      <c r="E29" s="7">
        <v>1</v>
      </c>
      <c r="F29" s="7">
        <v>250</v>
      </c>
      <c r="G29" s="7"/>
      <c r="H29" s="7">
        <v>1</v>
      </c>
      <c r="I29" s="7">
        <v>4</v>
      </c>
      <c r="J29" s="7"/>
      <c r="K29" s="7">
        <v>107</v>
      </c>
      <c r="L29" s="7"/>
      <c r="M29" s="7">
        <v>497</v>
      </c>
    </row>
    <row r="30" spans="1:15">
      <c r="A30" s="7" t="s">
        <v>984</v>
      </c>
      <c r="B30" s="7" t="s">
        <v>982</v>
      </c>
      <c r="C30" s="7">
        <v>10</v>
      </c>
      <c r="D30" s="7">
        <v>1</v>
      </c>
      <c r="E30" s="7">
        <v>1</v>
      </c>
      <c r="F30" s="7">
        <v>250</v>
      </c>
      <c r="G30" s="7"/>
      <c r="H30" s="7">
        <v>1</v>
      </c>
      <c r="I30" s="7">
        <v>4</v>
      </c>
      <c r="J30" s="7"/>
      <c r="K30" s="7">
        <v>107</v>
      </c>
      <c r="L30" s="7"/>
      <c r="M30" s="7">
        <v>310</v>
      </c>
    </row>
    <row r="31" spans="1:15">
      <c r="A31" s="7" t="s">
        <v>986</v>
      </c>
      <c r="B31" s="7" t="s">
        <v>982</v>
      </c>
      <c r="C31" s="7">
        <v>40</v>
      </c>
      <c r="D31" s="7">
        <v>0</v>
      </c>
      <c r="E31" s="7">
        <v>1</v>
      </c>
      <c r="F31" s="7">
        <v>250</v>
      </c>
      <c r="G31" s="7"/>
      <c r="H31" s="7">
        <v>1</v>
      </c>
      <c r="I31" s="7">
        <v>4</v>
      </c>
      <c r="J31" s="7"/>
      <c r="K31" s="7">
        <v>107</v>
      </c>
      <c r="L31" s="7"/>
      <c r="M31" s="7">
        <v>158</v>
      </c>
    </row>
    <row r="32" spans="1:15">
      <c r="A32" s="7" t="s">
        <v>987</v>
      </c>
      <c r="B32" s="7" t="s">
        <v>982</v>
      </c>
      <c r="C32" s="7">
        <v>30</v>
      </c>
      <c r="D32" s="7">
        <v>1</v>
      </c>
      <c r="E32" s="7">
        <v>1</v>
      </c>
      <c r="F32" s="7">
        <v>250</v>
      </c>
      <c r="G32" s="7"/>
      <c r="H32" s="7">
        <v>1</v>
      </c>
      <c r="I32" s="7">
        <v>4</v>
      </c>
      <c r="J32" s="7"/>
      <c r="K32" s="7">
        <v>107</v>
      </c>
      <c r="L32" s="7"/>
      <c r="M32" s="7">
        <v>146</v>
      </c>
    </row>
    <row r="33" spans="1:13">
      <c r="A33" s="7" t="s">
        <v>988</v>
      </c>
      <c r="B33" s="7" t="s">
        <v>982</v>
      </c>
      <c r="C33" s="7">
        <v>20</v>
      </c>
      <c r="D33" s="7">
        <v>1</v>
      </c>
      <c r="E33" s="7">
        <v>1</v>
      </c>
      <c r="F33" s="7">
        <v>250</v>
      </c>
      <c r="G33" s="7"/>
      <c r="H33" s="7">
        <v>2</v>
      </c>
      <c r="I33" s="7">
        <v>4</v>
      </c>
      <c r="J33" s="7"/>
      <c r="K33" s="7">
        <v>107</v>
      </c>
      <c r="L33" s="7"/>
      <c r="M33" s="7">
        <v>190</v>
      </c>
    </row>
    <row r="34" spans="1:13">
      <c r="A34" s="7" t="s">
        <v>989</v>
      </c>
      <c r="B34" s="7" t="s">
        <v>982</v>
      </c>
      <c r="C34" s="7">
        <v>20</v>
      </c>
      <c r="D34" s="7">
        <v>0</v>
      </c>
      <c r="E34" s="7">
        <v>0</v>
      </c>
      <c r="F34" s="7">
        <v>250</v>
      </c>
      <c r="G34" s="7"/>
      <c r="H34" s="7">
        <v>0</v>
      </c>
      <c r="I34" s="7">
        <v>4</v>
      </c>
      <c r="J34" s="7"/>
      <c r="K34" s="7">
        <v>107</v>
      </c>
      <c r="L34" s="7"/>
      <c r="M34" s="7">
        <v>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5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9.625" style="1" bestFit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O1" s="1" t="s">
        <v>973</v>
      </c>
      <c r="P1" s="1" t="s">
        <v>974</v>
      </c>
    </row>
    <row r="2" spans="1:18">
      <c r="A2" s="7" t="s">
        <v>995</v>
      </c>
      <c r="B2" s="7" t="s">
        <v>854</v>
      </c>
      <c r="C2" s="7">
        <v>30</v>
      </c>
      <c r="D2" s="7">
        <v>1</v>
      </c>
      <c r="E2" s="7">
        <v>1</v>
      </c>
      <c r="F2" s="7">
        <v>250</v>
      </c>
      <c r="G2" s="7"/>
      <c r="H2" s="7">
        <v>1</v>
      </c>
      <c r="I2" s="7"/>
      <c r="J2" s="7">
        <v>107</v>
      </c>
      <c r="K2" s="7">
        <f>TRUNC((4/C2)*500)</f>
        <v>66</v>
      </c>
      <c r="L2" s="7">
        <v>155</v>
      </c>
      <c r="M2" s="7">
        <f>L2-J2</f>
        <v>48</v>
      </c>
      <c r="Q2" s="10">
        <v>20</v>
      </c>
      <c r="R2" s="5">
        <v>108</v>
      </c>
    </row>
    <row r="3" spans="1:18">
      <c r="A3" s="7" t="s">
        <v>997</v>
      </c>
      <c r="B3" s="7" t="s">
        <v>854</v>
      </c>
      <c r="C3" s="7">
        <v>10</v>
      </c>
      <c r="D3" s="7">
        <v>0</v>
      </c>
      <c r="E3" s="7">
        <v>0</v>
      </c>
      <c r="F3" s="7">
        <v>250</v>
      </c>
      <c r="G3" s="7"/>
      <c r="H3" s="7">
        <v>1</v>
      </c>
      <c r="I3" s="7"/>
      <c r="J3" s="7">
        <v>107</v>
      </c>
      <c r="K3" s="7">
        <f t="shared" ref="K3:K15" si="0">TRUNC((4/C3)*500)</f>
        <v>200</v>
      </c>
      <c r="L3" s="7">
        <v>9999</v>
      </c>
      <c r="M3" s="7">
        <f t="shared" ref="M3:M7" si="1">L3-J3</f>
        <v>9892</v>
      </c>
      <c r="Q3" s="9">
        <v>40</v>
      </c>
      <c r="R3" s="5">
        <v>77</v>
      </c>
    </row>
    <row r="4" spans="1:18">
      <c r="A4" s="7" t="s">
        <v>996</v>
      </c>
      <c r="B4" s="7" t="s">
        <v>854</v>
      </c>
      <c r="C4" s="7">
        <v>40</v>
      </c>
      <c r="D4" s="7">
        <v>1</v>
      </c>
      <c r="E4" s="7">
        <v>1</v>
      </c>
      <c r="F4" s="7">
        <v>250</v>
      </c>
      <c r="G4" s="7"/>
      <c r="H4" s="7">
        <v>1</v>
      </c>
      <c r="I4" s="7"/>
      <c r="J4" s="7">
        <v>107</v>
      </c>
      <c r="K4" s="7">
        <f t="shared" si="0"/>
        <v>50</v>
      </c>
      <c r="L4" s="7">
        <v>156</v>
      </c>
      <c r="M4" s="7">
        <f t="shared" si="1"/>
        <v>49</v>
      </c>
      <c r="Q4" s="10">
        <v>10</v>
      </c>
      <c r="R4" s="5">
        <v>236</v>
      </c>
    </row>
    <row r="5" spans="1:18">
      <c r="A5" s="7" t="s">
        <v>998</v>
      </c>
      <c r="B5" s="7" t="s">
        <v>854</v>
      </c>
      <c r="C5" s="7">
        <v>5</v>
      </c>
      <c r="D5" s="7">
        <v>1</v>
      </c>
      <c r="E5" s="7">
        <v>0</v>
      </c>
      <c r="F5" s="7">
        <v>250</v>
      </c>
      <c r="G5" s="7"/>
      <c r="H5" s="7">
        <v>1</v>
      </c>
      <c r="I5" s="7"/>
      <c r="J5" s="7">
        <v>107</v>
      </c>
      <c r="K5" s="7">
        <f t="shared" si="0"/>
        <v>400</v>
      </c>
      <c r="L5" s="7">
        <v>480</v>
      </c>
      <c r="M5" s="7">
        <f t="shared" si="1"/>
        <v>373</v>
      </c>
      <c r="Q5" s="5">
        <v>5</v>
      </c>
      <c r="R5" s="5">
        <v>429</v>
      </c>
    </row>
    <row r="6" spans="1:18">
      <c r="A6" s="7" t="s">
        <v>1002</v>
      </c>
      <c r="B6" s="7" t="s">
        <v>854</v>
      </c>
      <c r="C6" s="7">
        <v>20</v>
      </c>
      <c r="D6" s="7">
        <v>1</v>
      </c>
      <c r="E6" s="7">
        <v>1</v>
      </c>
      <c r="F6" s="7">
        <v>250</v>
      </c>
      <c r="G6" s="7"/>
      <c r="H6" s="7">
        <v>1</v>
      </c>
      <c r="I6" s="7"/>
      <c r="J6" s="7">
        <v>107</v>
      </c>
      <c r="K6" s="7">
        <f t="shared" si="0"/>
        <v>100</v>
      </c>
      <c r="L6" s="7">
        <v>209</v>
      </c>
      <c r="M6" s="7">
        <f>L6-J6</f>
        <v>102</v>
      </c>
      <c r="Q6" s="5">
        <v>30</v>
      </c>
      <c r="R6" s="5">
        <v>77</v>
      </c>
    </row>
    <row r="7" spans="1:18">
      <c r="A7" s="7" t="s">
        <v>1001</v>
      </c>
      <c r="B7" s="7" t="s">
        <v>854</v>
      </c>
      <c r="C7" s="7">
        <v>30</v>
      </c>
      <c r="D7" s="7">
        <v>1</v>
      </c>
      <c r="E7" s="7">
        <v>1</v>
      </c>
      <c r="F7" s="7">
        <v>250</v>
      </c>
      <c r="G7" s="7"/>
      <c r="H7" s="7">
        <v>2</v>
      </c>
      <c r="I7" s="7"/>
      <c r="J7" s="7">
        <v>107</v>
      </c>
      <c r="K7" s="7">
        <f t="shared" si="0"/>
        <v>66</v>
      </c>
      <c r="L7" s="7">
        <v>166</v>
      </c>
      <c r="M7" s="7">
        <f t="shared" si="1"/>
        <v>59</v>
      </c>
    </row>
    <row r="8" spans="1:18">
      <c r="A8" s="7" t="s">
        <v>1003</v>
      </c>
      <c r="B8" s="7" t="s">
        <v>854</v>
      </c>
      <c r="C8" s="7">
        <v>20</v>
      </c>
      <c r="D8" s="7">
        <v>-1</v>
      </c>
      <c r="E8" s="7">
        <v>0</v>
      </c>
      <c r="F8" s="7">
        <v>250</v>
      </c>
      <c r="G8" s="7"/>
      <c r="H8" s="7">
        <v>0</v>
      </c>
      <c r="I8" s="7"/>
      <c r="J8" s="7">
        <v>107</v>
      </c>
      <c r="K8" s="7">
        <f t="shared" si="0"/>
        <v>100</v>
      </c>
      <c r="L8" s="7">
        <v>9999</v>
      </c>
      <c r="M8" s="7">
        <v>9999</v>
      </c>
    </row>
    <row r="9" spans="1:18">
      <c r="A9" s="5" t="s">
        <v>1004</v>
      </c>
      <c r="B9" s="5" t="s">
        <v>862</v>
      </c>
      <c r="C9" s="5">
        <v>20</v>
      </c>
      <c r="D9" s="5">
        <v>1</v>
      </c>
      <c r="E9" s="5">
        <v>1</v>
      </c>
      <c r="F9" s="5">
        <v>250</v>
      </c>
      <c r="G9" s="5"/>
      <c r="H9" s="5">
        <v>1</v>
      </c>
      <c r="I9" s="5"/>
      <c r="J9" s="5">
        <v>107</v>
      </c>
      <c r="K9" s="5">
        <f t="shared" si="0"/>
        <v>100</v>
      </c>
      <c r="L9" s="5">
        <v>192</v>
      </c>
      <c r="M9" s="5">
        <f>L9-J9</f>
        <v>85</v>
      </c>
    </row>
    <row r="10" spans="1:18">
      <c r="A10" s="5" t="s">
        <v>1005</v>
      </c>
      <c r="B10" s="5" t="s">
        <v>862</v>
      </c>
      <c r="C10" s="5">
        <v>5</v>
      </c>
      <c r="D10" s="5">
        <v>0</v>
      </c>
      <c r="E10" s="5">
        <v>0</v>
      </c>
      <c r="F10" s="5">
        <v>250</v>
      </c>
      <c r="G10" s="5"/>
      <c r="H10" s="5">
        <v>1</v>
      </c>
      <c r="I10" s="5"/>
      <c r="J10" s="5">
        <v>107</v>
      </c>
      <c r="K10" s="5">
        <f t="shared" si="0"/>
        <v>400</v>
      </c>
      <c r="L10" s="5">
        <v>9999</v>
      </c>
      <c r="M10" s="5">
        <f t="shared" ref="M10:M12" si="2">L10-J10</f>
        <v>9892</v>
      </c>
    </row>
    <row r="11" spans="1:18">
      <c r="A11" s="5" t="s">
        <v>1006</v>
      </c>
      <c r="B11" s="5" t="s">
        <v>862</v>
      </c>
      <c r="C11" s="5">
        <v>30</v>
      </c>
      <c r="D11" s="5">
        <v>0</v>
      </c>
      <c r="E11" s="5">
        <v>1</v>
      </c>
      <c r="F11" s="5">
        <v>250</v>
      </c>
      <c r="G11" s="5"/>
      <c r="H11" s="5">
        <v>1</v>
      </c>
      <c r="I11" s="5"/>
      <c r="J11" s="5">
        <v>107</v>
      </c>
      <c r="K11" s="5">
        <f t="shared" si="0"/>
        <v>66</v>
      </c>
      <c r="L11" s="5">
        <v>182</v>
      </c>
      <c r="M11" s="5">
        <f t="shared" si="2"/>
        <v>75</v>
      </c>
    </row>
    <row r="12" spans="1:18">
      <c r="A12" s="5" t="s">
        <v>1007</v>
      </c>
      <c r="B12" s="5" t="s">
        <v>862</v>
      </c>
      <c r="C12" s="5">
        <v>40</v>
      </c>
      <c r="D12" s="5">
        <v>1</v>
      </c>
      <c r="E12" s="5">
        <v>1</v>
      </c>
      <c r="F12" s="5">
        <v>250</v>
      </c>
      <c r="G12" s="5"/>
      <c r="H12" s="5">
        <v>1</v>
      </c>
      <c r="I12" s="5"/>
      <c r="J12" s="5">
        <v>107</v>
      </c>
      <c r="K12" s="5">
        <f t="shared" si="0"/>
        <v>50</v>
      </c>
      <c r="L12" s="5">
        <v>152</v>
      </c>
      <c r="M12" s="5">
        <f t="shared" si="2"/>
        <v>45</v>
      </c>
    </row>
    <row r="13" spans="1:18">
      <c r="A13" s="5" t="s">
        <v>1008</v>
      </c>
      <c r="B13" s="5" t="s">
        <v>862</v>
      </c>
      <c r="C13" s="5">
        <v>10</v>
      </c>
      <c r="D13" s="5">
        <v>0</v>
      </c>
      <c r="E13" s="5">
        <v>1</v>
      </c>
      <c r="F13" s="5">
        <v>250</v>
      </c>
      <c r="G13" s="5"/>
      <c r="H13" s="5">
        <v>1</v>
      </c>
      <c r="I13" s="5"/>
      <c r="J13" s="5">
        <v>107</v>
      </c>
      <c r="K13" s="5">
        <f t="shared" si="0"/>
        <v>200</v>
      </c>
      <c r="L13" s="5">
        <v>291</v>
      </c>
      <c r="M13" s="5">
        <f>L13-J13</f>
        <v>184</v>
      </c>
    </row>
    <row r="14" spans="1:18">
      <c r="A14" s="5" t="s">
        <v>1010</v>
      </c>
      <c r="B14" s="5" t="s">
        <v>862</v>
      </c>
      <c r="C14" s="5">
        <v>20</v>
      </c>
      <c r="D14" s="5">
        <v>1</v>
      </c>
      <c r="E14" s="5">
        <v>1</v>
      </c>
      <c r="F14" s="5">
        <v>250</v>
      </c>
      <c r="G14" s="5"/>
      <c r="H14" s="5">
        <v>2</v>
      </c>
      <c r="I14" s="5"/>
      <c r="J14" s="5">
        <v>107</v>
      </c>
      <c r="K14" s="5">
        <f t="shared" si="0"/>
        <v>100</v>
      </c>
      <c r="L14" s="5">
        <v>192</v>
      </c>
      <c r="M14" s="5">
        <f t="shared" ref="M14" si="3">L14-J14</f>
        <v>85</v>
      </c>
    </row>
    <row r="15" spans="1:18">
      <c r="A15" s="5" t="s">
        <v>1011</v>
      </c>
      <c r="B15" s="5" t="s">
        <v>862</v>
      </c>
      <c r="C15" s="5">
        <v>20</v>
      </c>
      <c r="D15" s="5">
        <v>-1</v>
      </c>
      <c r="E15" s="5">
        <v>0</v>
      </c>
      <c r="F15" s="5">
        <v>250</v>
      </c>
      <c r="G15" s="5"/>
      <c r="H15" s="5">
        <v>0</v>
      </c>
      <c r="I15" s="5"/>
      <c r="J15" s="5">
        <v>107</v>
      </c>
      <c r="K15" s="5">
        <f t="shared" si="0"/>
        <v>100</v>
      </c>
      <c r="L15" s="5">
        <v>9999</v>
      </c>
      <c r="M15" s="5">
        <v>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4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9.625" style="1" bestFit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O1" s="1" t="s">
        <v>973</v>
      </c>
      <c r="P1" s="1" t="s">
        <v>974</v>
      </c>
    </row>
    <row r="2" spans="1:16">
      <c r="A2" s="7" t="s">
        <v>1013</v>
      </c>
      <c r="B2" s="7" t="s">
        <v>854</v>
      </c>
      <c r="C2" s="7">
        <v>30</v>
      </c>
      <c r="D2" s="7">
        <v>1</v>
      </c>
      <c r="E2" s="7">
        <v>1</v>
      </c>
      <c r="F2" s="7">
        <v>75</v>
      </c>
      <c r="G2" s="7"/>
      <c r="H2" s="7">
        <v>1</v>
      </c>
      <c r="I2" s="7"/>
      <c r="J2" s="7">
        <v>107</v>
      </c>
      <c r="K2" s="7">
        <f>TRUNC((4/C2)*500)</f>
        <v>66</v>
      </c>
      <c r="L2" s="7">
        <v>170</v>
      </c>
      <c r="M2" s="7">
        <f>L2-J2</f>
        <v>63</v>
      </c>
    </row>
    <row r="3" spans="1:16">
      <c r="A3" s="7" t="s">
        <v>1014</v>
      </c>
      <c r="B3" s="7" t="s">
        <v>854</v>
      </c>
      <c r="C3" s="7">
        <v>10</v>
      </c>
      <c r="D3" s="7">
        <v>0</v>
      </c>
      <c r="E3" s="7">
        <v>0</v>
      </c>
      <c r="F3" s="7">
        <f>F2</f>
        <v>75</v>
      </c>
      <c r="G3" s="7"/>
      <c r="H3" s="7">
        <v>1</v>
      </c>
      <c r="I3" s="7"/>
      <c r="J3" s="7">
        <v>107</v>
      </c>
      <c r="K3" s="7"/>
      <c r="L3" s="7">
        <v>9999</v>
      </c>
      <c r="M3" s="7">
        <f t="shared" ref="M3:M7" si="0">L3-J3</f>
        <v>9892</v>
      </c>
    </row>
    <row r="4" spans="1:16">
      <c r="A4" s="7" t="s">
        <v>1015</v>
      </c>
      <c r="B4" s="7" t="s">
        <v>854</v>
      </c>
      <c r="C4" s="7">
        <v>40</v>
      </c>
      <c r="D4" s="7">
        <v>1</v>
      </c>
      <c r="E4" s="7">
        <v>1</v>
      </c>
      <c r="F4" s="7">
        <f t="shared" ref="F4:F8" si="1">F3</f>
        <v>75</v>
      </c>
      <c r="G4" s="7"/>
      <c r="H4" s="7">
        <v>1</v>
      </c>
      <c r="I4" s="7"/>
      <c r="J4" s="7">
        <v>107</v>
      </c>
      <c r="K4" s="7"/>
      <c r="L4" s="7">
        <v>150</v>
      </c>
      <c r="M4" s="7">
        <f t="shared" si="0"/>
        <v>43</v>
      </c>
    </row>
    <row r="5" spans="1:16">
      <c r="A5" s="7" t="s">
        <v>1016</v>
      </c>
      <c r="B5" s="7" t="s">
        <v>854</v>
      </c>
      <c r="C5" s="7">
        <v>5</v>
      </c>
      <c r="D5" s="7">
        <v>0</v>
      </c>
      <c r="E5" s="7">
        <v>0</v>
      </c>
      <c r="F5" s="7">
        <f t="shared" si="1"/>
        <v>75</v>
      </c>
      <c r="G5" s="7"/>
      <c r="H5" s="7">
        <v>1</v>
      </c>
      <c r="I5" s="7"/>
      <c r="J5" s="7">
        <v>107</v>
      </c>
      <c r="K5" s="7"/>
      <c r="L5" s="7">
        <v>9999</v>
      </c>
      <c r="M5" s="7">
        <f t="shared" si="0"/>
        <v>9892</v>
      </c>
    </row>
    <row r="6" spans="1:16">
      <c r="A6" s="7" t="s">
        <v>1017</v>
      </c>
      <c r="B6" s="7" t="s">
        <v>854</v>
      </c>
      <c r="C6" s="7">
        <v>20</v>
      </c>
      <c r="D6" s="7">
        <v>0</v>
      </c>
      <c r="E6" s="7">
        <v>1</v>
      </c>
      <c r="F6" s="7">
        <f t="shared" si="1"/>
        <v>75</v>
      </c>
      <c r="G6" s="7"/>
      <c r="H6" s="7">
        <v>1</v>
      </c>
      <c r="I6" s="7"/>
      <c r="J6" s="7">
        <v>107</v>
      </c>
      <c r="K6" s="7"/>
      <c r="L6" s="7">
        <v>210</v>
      </c>
      <c r="M6" s="7">
        <f>L6-J6</f>
        <v>103</v>
      </c>
    </row>
    <row r="7" spans="1:16">
      <c r="A7" s="7" t="s">
        <v>1018</v>
      </c>
      <c r="B7" s="7" t="s">
        <v>854</v>
      </c>
      <c r="C7" s="7">
        <v>30</v>
      </c>
      <c r="D7" s="7">
        <v>1</v>
      </c>
      <c r="E7" s="7">
        <v>1</v>
      </c>
      <c r="F7" s="7">
        <f t="shared" si="1"/>
        <v>75</v>
      </c>
      <c r="G7" s="7"/>
      <c r="H7" s="7">
        <v>2</v>
      </c>
      <c r="I7" s="7"/>
      <c r="J7" s="7">
        <v>107</v>
      </c>
      <c r="K7" s="7"/>
      <c r="L7" s="7">
        <v>178</v>
      </c>
      <c r="M7" s="7">
        <f t="shared" si="0"/>
        <v>71</v>
      </c>
    </row>
    <row r="8" spans="1:16">
      <c r="A8" s="7" t="s">
        <v>1019</v>
      </c>
      <c r="B8" s="7" t="s">
        <v>854</v>
      </c>
      <c r="C8" s="7">
        <v>20</v>
      </c>
      <c r="D8" s="7">
        <v>-1</v>
      </c>
      <c r="E8" s="7">
        <v>0</v>
      </c>
      <c r="F8" s="7">
        <f t="shared" si="1"/>
        <v>75</v>
      </c>
      <c r="G8" s="7"/>
      <c r="H8" s="7">
        <v>0</v>
      </c>
      <c r="I8" s="7"/>
      <c r="J8" s="7">
        <v>107</v>
      </c>
      <c r="K8" s="7"/>
      <c r="L8" s="7"/>
      <c r="M8" s="7">
        <v>9999</v>
      </c>
    </row>
    <row r="9" spans="1:16">
      <c r="A9" s="5" t="s">
        <v>1025</v>
      </c>
      <c r="B9" s="5" t="s">
        <v>862</v>
      </c>
      <c r="C9" s="5">
        <v>20</v>
      </c>
      <c r="D9" s="5">
        <v>0</v>
      </c>
      <c r="E9" s="5">
        <v>1</v>
      </c>
      <c r="F9" s="5">
        <v>150</v>
      </c>
      <c r="G9" s="5"/>
      <c r="H9" s="5">
        <v>1</v>
      </c>
      <c r="I9" s="5"/>
      <c r="J9" s="5">
        <v>107</v>
      </c>
      <c r="K9" s="5"/>
      <c r="L9" s="5">
        <v>216</v>
      </c>
      <c r="M9" s="5">
        <f>L9-J9</f>
        <v>109</v>
      </c>
    </row>
    <row r="10" spans="1:16">
      <c r="A10" s="5" t="s">
        <v>1020</v>
      </c>
      <c r="B10" s="5" t="s">
        <v>862</v>
      </c>
      <c r="C10" s="5">
        <v>5</v>
      </c>
      <c r="D10" s="5">
        <v>0</v>
      </c>
      <c r="E10" s="5">
        <v>0</v>
      </c>
      <c r="F10" s="5">
        <f>F9</f>
        <v>150</v>
      </c>
      <c r="G10" s="5"/>
      <c r="H10" s="5">
        <v>1</v>
      </c>
      <c r="I10" s="5"/>
      <c r="J10" s="5">
        <v>107</v>
      </c>
      <c r="K10" s="5"/>
      <c r="L10" s="5">
        <v>9999</v>
      </c>
      <c r="M10" s="5">
        <f t="shared" ref="M10:M12" si="2">L10-J10</f>
        <v>9892</v>
      </c>
    </row>
    <row r="11" spans="1:16">
      <c r="A11" s="5" t="s">
        <v>1021</v>
      </c>
      <c r="B11" s="5" t="s">
        <v>862</v>
      </c>
      <c r="C11" s="5">
        <v>30</v>
      </c>
      <c r="D11" s="5">
        <v>1</v>
      </c>
      <c r="E11" s="5">
        <v>1</v>
      </c>
      <c r="F11" s="5">
        <f t="shared" ref="F11:F14" si="3">F10</f>
        <v>150</v>
      </c>
      <c r="G11" s="5"/>
      <c r="H11" s="5">
        <v>1</v>
      </c>
      <c r="I11" s="5"/>
      <c r="J11" s="5">
        <v>107</v>
      </c>
      <c r="K11" s="5"/>
      <c r="L11" s="5">
        <v>169</v>
      </c>
      <c r="M11" s="5">
        <f t="shared" si="2"/>
        <v>62</v>
      </c>
    </row>
    <row r="12" spans="1:16">
      <c r="A12" s="5" t="s">
        <v>1022</v>
      </c>
      <c r="B12" s="5" t="s">
        <v>862</v>
      </c>
      <c r="C12" s="5">
        <v>40</v>
      </c>
      <c r="D12" s="5">
        <v>1</v>
      </c>
      <c r="E12" s="5">
        <v>1</v>
      </c>
      <c r="F12" s="5">
        <f t="shared" si="3"/>
        <v>150</v>
      </c>
      <c r="G12" s="5"/>
      <c r="H12" s="5">
        <v>1</v>
      </c>
      <c r="I12" s="5"/>
      <c r="J12" s="5">
        <v>107</v>
      </c>
      <c r="K12" s="5"/>
      <c r="L12" s="5">
        <v>144</v>
      </c>
      <c r="M12" s="5">
        <f t="shared" si="2"/>
        <v>37</v>
      </c>
    </row>
    <row r="13" spans="1:16">
      <c r="A13" s="5" t="s">
        <v>1023</v>
      </c>
      <c r="B13" s="5" t="s">
        <v>862</v>
      </c>
      <c r="C13" s="5">
        <v>10</v>
      </c>
      <c r="D13" s="5">
        <v>0</v>
      </c>
      <c r="E13" s="5">
        <v>0</v>
      </c>
      <c r="F13" s="5">
        <f t="shared" si="3"/>
        <v>150</v>
      </c>
      <c r="G13" s="5"/>
      <c r="H13" s="5">
        <v>1</v>
      </c>
      <c r="I13" s="5"/>
      <c r="J13" s="5">
        <v>107</v>
      </c>
      <c r="K13" s="5"/>
      <c r="L13" s="5">
        <v>9999</v>
      </c>
      <c r="M13" s="5">
        <f>L13-J13</f>
        <v>9892</v>
      </c>
    </row>
    <row r="14" spans="1:16">
      <c r="A14" s="5" t="s">
        <v>1024</v>
      </c>
      <c r="B14" s="5" t="s">
        <v>862</v>
      </c>
      <c r="C14" s="5">
        <v>20</v>
      </c>
      <c r="D14" s="5">
        <v>0</v>
      </c>
      <c r="E14" s="5">
        <v>1</v>
      </c>
      <c r="F14" s="5">
        <f t="shared" si="3"/>
        <v>150</v>
      </c>
      <c r="G14" s="5"/>
      <c r="H14" s="5">
        <v>2</v>
      </c>
      <c r="I14" s="5"/>
      <c r="J14" s="5">
        <v>107</v>
      </c>
      <c r="K14" s="5"/>
      <c r="L14" s="5">
        <v>213</v>
      </c>
      <c r="M14" s="5">
        <f t="shared" ref="M14" si="4">L14-J14</f>
        <v>106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45"/>
  <sheetViews>
    <sheetView tabSelected="1" workbookViewId="0">
      <selection activeCell="N17" sqref="N17"/>
    </sheetView>
  </sheetViews>
  <sheetFormatPr baseColWidth="10" defaultColWidth="9" defaultRowHeight="14.25"/>
  <cols>
    <col min="2" max="3" width="3.25" bestFit="1" customWidth="1"/>
    <col min="4" max="6" width="4.375" bestFit="1" customWidth="1"/>
    <col min="7" max="7" width="16.625" style="15" customWidth="1"/>
    <col min="16" max="17" width="11.125" bestFit="1" customWidth="1"/>
  </cols>
  <sheetData>
    <row r="1" spans="1:22">
      <c r="A1" t="s">
        <v>893</v>
      </c>
      <c r="H1" t="s">
        <v>894</v>
      </c>
      <c r="I1" t="s">
        <v>895</v>
      </c>
      <c r="J1" t="s">
        <v>896</v>
      </c>
      <c r="K1" t="s">
        <v>897</v>
      </c>
    </row>
    <row r="2" spans="1:22">
      <c r="A2">
        <f>SUM('02_28'!J2+'02_27'!J2+'02_26'!J2+'02_25'!J2+'02_24'!J2+'02_23'!J2+'02_22'!J2+'02_21'!J2+'02_20'!J2+'02_17'!J2+'02_16'!J2+'02_15'!J2+'02_14'!J2)</f>
        <v>54</v>
      </c>
      <c r="P2" s="18"/>
      <c r="Q2" s="18"/>
    </row>
    <row r="3" spans="1:22" ht="15">
      <c r="B3">
        <v>5</v>
      </c>
      <c r="C3">
        <v>10</v>
      </c>
      <c r="D3">
        <v>20</v>
      </c>
      <c r="E3">
        <v>40</v>
      </c>
      <c r="F3">
        <v>30</v>
      </c>
      <c r="G3" s="34" t="str">
        <f>CONCATENATE(B3,"-",C3,"-",D3,"-",E3,"-",F3)</f>
        <v>5-10-20-40-30</v>
      </c>
      <c r="H3" s="22" t="s">
        <v>898</v>
      </c>
      <c r="I3" s="22" t="s">
        <v>899</v>
      </c>
      <c r="J3" s="28" t="s">
        <v>900</v>
      </c>
      <c r="K3" s="14"/>
    </row>
    <row r="4" spans="1:22" ht="15">
      <c r="B4">
        <v>5</v>
      </c>
      <c r="C4">
        <v>10</v>
      </c>
      <c r="D4">
        <v>40</v>
      </c>
      <c r="E4">
        <v>20</v>
      </c>
      <c r="F4">
        <v>30</v>
      </c>
      <c r="G4" s="33" t="str">
        <f t="shared" ref="G4:G33" si="0">CONCATENATE(B4,"-",C4,"-",D4,"-",E4,"-",F4)</f>
        <v>5-10-40-20-30</v>
      </c>
      <c r="H4" s="21" t="s">
        <v>901</v>
      </c>
      <c r="I4" s="21" t="s">
        <v>902</v>
      </c>
      <c r="J4" s="23" t="s">
        <v>900</v>
      </c>
      <c r="K4" s="14"/>
    </row>
    <row r="5" spans="1:22" ht="15">
      <c r="B5">
        <v>5</v>
      </c>
      <c r="C5">
        <v>20</v>
      </c>
      <c r="D5">
        <v>10</v>
      </c>
      <c r="E5">
        <v>40</v>
      </c>
      <c r="F5">
        <v>30</v>
      </c>
      <c r="G5" s="33" t="str">
        <f t="shared" si="0"/>
        <v>5-20-10-40-30</v>
      </c>
      <c r="H5" s="21" t="s">
        <v>903</v>
      </c>
      <c r="I5" s="11" t="s">
        <v>904</v>
      </c>
      <c r="J5" s="23" t="s">
        <v>905</v>
      </c>
      <c r="K5" s="14"/>
    </row>
    <row r="6" spans="1:22" ht="15">
      <c r="B6">
        <v>5</v>
      </c>
      <c r="C6">
        <v>20</v>
      </c>
      <c r="D6">
        <v>40</v>
      </c>
      <c r="E6">
        <v>10</v>
      </c>
      <c r="F6">
        <v>30</v>
      </c>
      <c r="G6" s="33" t="str">
        <f t="shared" si="0"/>
        <v>5-20-40-10-30</v>
      </c>
      <c r="H6" s="21" t="s">
        <v>906</v>
      </c>
      <c r="I6" s="21" t="s">
        <v>905</v>
      </c>
      <c r="J6" s="23" t="s">
        <v>902</v>
      </c>
      <c r="K6" s="14"/>
    </row>
    <row r="7" spans="1:22" ht="15">
      <c r="B7">
        <v>5</v>
      </c>
      <c r="C7">
        <v>40</v>
      </c>
      <c r="D7">
        <v>10</v>
      </c>
      <c r="E7">
        <v>20</v>
      </c>
      <c r="F7">
        <v>30</v>
      </c>
      <c r="G7" s="33" t="str">
        <f t="shared" si="0"/>
        <v>5-40-10-20-30</v>
      </c>
      <c r="H7" s="21" t="s">
        <v>900</v>
      </c>
      <c r="I7" s="21" t="s">
        <v>904</v>
      </c>
      <c r="J7" s="23" t="s">
        <v>901</v>
      </c>
      <c r="K7" s="14"/>
    </row>
    <row r="8" spans="1:22" ht="15">
      <c r="B8">
        <v>5</v>
      </c>
      <c r="C8">
        <v>40</v>
      </c>
      <c r="D8">
        <v>20</v>
      </c>
      <c r="E8">
        <v>10</v>
      </c>
      <c r="F8">
        <v>30</v>
      </c>
      <c r="G8" s="33" t="str">
        <f t="shared" si="0"/>
        <v>5-40-20-10-30</v>
      </c>
      <c r="H8" s="21" t="s">
        <v>1009</v>
      </c>
      <c r="I8" s="21" t="s">
        <v>908</v>
      </c>
      <c r="J8" s="23" t="s">
        <v>903</v>
      </c>
      <c r="K8" s="14"/>
      <c r="S8" t="s">
        <v>909</v>
      </c>
    </row>
    <row r="9" spans="1:22" ht="15">
      <c r="B9">
        <v>10</v>
      </c>
      <c r="C9">
        <v>5</v>
      </c>
      <c r="D9">
        <v>20</v>
      </c>
      <c r="E9">
        <v>40</v>
      </c>
      <c r="F9">
        <v>30</v>
      </c>
      <c r="G9" s="33" t="str">
        <f t="shared" si="0"/>
        <v>10-5-20-40-30</v>
      </c>
      <c r="H9" s="21" t="s">
        <v>910</v>
      </c>
      <c r="I9" s="21" t="s">
        <v>900</v>
      </c>
      <c r="J9" s="23" t="s">
        <v>1009</v>
      </c>
      <c r="K9" s="14"/>
      <c r="S9" t="s">
        <v>911</v>
      </c>
    </row>
    <row r="10" spans="1:22" ht="15">
      <c r="B10">
        <v>10</v>
      </c>
      <c r="C10">
        <v>5</v>
      </c>
      <c r="D10">
        <v>40</v>
      </c>
      <c r="E10">
        <v>20</v>
      </c>
      <c r="F10">
        <v>30</v>
      </c>
      <c r="G10" s="37" t="str">
        <f t="shared" si="0"/>
        <v>10-5-40-20-30</v>
      </c>
      <c r="H10" s="21" t="s">
        <v>912</v>
      </c>
      <c r="I10" s="21" t="s">
        <v>913</v>
      </c>
      <c r="J10" s="23" t="s">
        <v>914</v>
      </c>
      <c r="K10" s="14"/>
      <c r="S10" t="s">
        <v>915</v>
      </c>
    </row>
    <row r="11" spans="1:22" ht="15">
      <c r="B11">
        <v>10</v>
      </c>
      <c r="C11">
        <v>20</v>
      </c>
      <c r="D11">
        <v>5</v>
      </c>
      <c r="E11">
        <v>40</v>
      </c>
      <c r="F11">
        <v>30</v>
      </c>
      <c r="G11" s="33" t="str">
        <f t="shared" si="0"/>
        <v>10-20-5-40-30</v>
      </c>
      <c r="H11" s="21" t="s">
        <v>916</v>
      </c>
      <c r="I11" s="21" t="s">
        <v>914</v>
      </c>
      <c r="J11" s="23" t="s">
        <v>917</v>
      </c>
      <c r="K11" s="14"/>
      <c r="R11" s="1" t="s">
        <v>966</v>
      </c>
      <c r="V11" s="15"/>
    </row>
    <row r="12" spans="1:22" ht="15">
      <c r="B12">
        <v>10</v>
      </c>
      <c r="C12">
        <v>20</v>
      </c>
      <c r="D12">
        <v>40</v>
      </c>
      <c r="E12">
        <v>5</v>
      </c>
      <c r="F12">
        <v>30</v>
      </c>
      <c r="G12" s="33" t="str">
        <f t="shared" si="0"/>
        <v>10-20-40-5-30</v>
      </c>
      <c r="H12" s="21" t="s">
        <v>918</v>
      </c>
      <c r="I12" s="21" t="s">
        <v>919</v>
      </c>
      <c r="J12" s="23" t="s">
        <v>903</v>
      </c>
      <c r="K12" s="14"/>
      <c r="V12" s="15" t="s">
        <v>939</v>
      </c>
    </row>
    <row r="13" spans="1:22" ht="15">
      <c r="B13">
        <v>10</v>
      </c>
      <c r="C13">
        <v>40</v>
      </c>
      <c r="D13">
        <v>5</v>
      </c>
      <c r="E13">
        <v>20</v>
      </c>
      <c r="F13">
        <v>30</v>
      </c>
      <c r="G13" s="33" t="str">
        <f t="shared" si="0"/>
        <v>10-40-5-20-30</v>
      </c>
      <c r="H13" s="21" t="s">
        <v>920</v>
      </c>
      <c r="I13" s="21" t="s">
        <v>914</v>
      </c>
      <c r="J13" s="23" t="s">
        <v>910</v>
      </c>
      <c r="K13" s="14"/>
      <c r="V13" s="15" t="s">
        <v>940</v>
      </c>
    </row>
    <row r="14" spans="1:22" ht="15">
      <c r="B14">
        <v>10</v>
      </c>
      <c r="C14">
        <v>40</v>
      </c>
      <c r="D14">
        <v>20</v>
      </c>
      <c r="E14">
        <v>5</v>
      </c>
      <c r="F14">
        <v>30</v>
      </c>
      <c r="G14" s="33" t="str">
        <f t="shared" si="0"/>
        <v>10-40-20-5-30</v>
      </c>
      <c r="H14" s="21" t="s">
        <v>921</v>
      </c>
      <c r="I14" s="21" t="s">
        <v>922</v>
      </c>
      <c r="J14" s="23" t="s">
        <v>901</v>
      </c>
      <c r="K14" s="14"/>
      <c r="V14" s="15" t="s">
        <v>941</v>
      </c>
    </row>
    <row r="15" spans="1:22" ht="15">
      <c r="B15">
        <v>20</v>
      </c>
      <c r="C15">
        <v>5</v>
      </c>
      <c r="D15">
        <v>10</v>
      </c>
      <c r="E15">
        <v>40</v>
      </c>
      <c r="F15">
        <v>30</v>
      </c>
      <c r="G15" s="33" t="str">
        <f t="shared" si="0"/>
        <v>20-5-10-40-30</v>
      </c>
      <c r="H15" s="21" t="s">
        <v>905</v>
      </c>
      <c r="I15" s="21" t="s">
        <v>923</v>
      </c>
      <c r="J15" s="23" t="s">
        <v>990</v>
      </c>
      <c r="K15" s="14"/>
      <c r="V15" s="15" t="s">
        <v>942</v>
      </c>
    </row>
    <row r="16" spans="1:22" ht="15">
      <c r="B16">
        <v>20</v>
      </c>
      <c r="C16">
        <v>5</v>
      </c>
      <c r="D16">
        <v>40</v>
      </c>
      <c r="E16">
        <v>10</v>
      </c>
      <c r="F16">
        <v>30</v>
      </c>
      <c r="G16" s="37" t="str">
        <f t="shared" si="0"/>
        <v>20-5-40-10-30</v>
      </c>
      <c r="H16" s="38" t="s">
        <v>924</v>
      </c>
      <c r="I16" s="21" t="s">
        <v>1120</v>
      </c>
      <c r="J16" s="23" t="s">
        <v>899</v>
      </c>
      <c r="K16" s="14"/>
      <c r="V16" s="15" t="s">
        <v>943</v>
      </c>
    </row>
    <row r="17" spans="2:18" ht="15">
      <c r="B17">
        <v>20</v>
      </c>
      <c r="C17">
        <v>10</v>
      </c>
      <c r="D17">
        <v>5</v>
      </c>
      <c r="E17">
        <v>40</v>
      </c>
      <c r="F17">
        <v>30</v>
      </c>
      <c r="G17" s="33" t="str">
        <f t="shared" si="0"/>
        <v>20-10-5-40-30</v>
      </c>
      <c r="H17" s="21" t="s">
        <v>910</v>
      </c>
      <c r="I17" s="21" t="s">
        <v>1121</v>
      </c>
      <c r="J17" s="23" t="s">
        <v>925</v>
      </c>
      <c r="K17" s="14"/>
      <c r="R17" t="s">
        <v>999</v>
      </c>
    </row>
    <row r="18" spans="2:18" ht="15">
      <c r="B18">
        <v>20</v>
      </c>
      <c r="C18">
        <v>10</v>
      </c>
      <c r="D18">
        <v>40</v>
      </c>
      <c r="E18">
        <v>5</v>
      </c>
      <c r="F18">
        <v>30</v>
      </c>
      <c r="G18" s="33" t="str">
        <f t="shared" si="0"/>
        <v>20-10-40-5-30</v>
      </c>
      <c r="H18" s="21" t="s">
        <v>904</v>
      </c>
      <c r="I18" s="21" t="s">
        <v>926</v>
      </c>
      <c r="J18" s="23" t="s">
        <v>917</v>
      </c>
      <c r="K18" s="14"/>
      <c r="R18" t="s">
        <v>1012</v>
      </c>
    </row>
    <row r="19" spans="2:18" ht="15">
      <c r="B19">
        <v>20</v>
      </c>
      <c r="C19">
        <v>40</v>
      </c>
      <c r="D19">
        <v>5</v>
      </c>
      <c r="E19">
        <v>10</v>
      </c>
      <c r="F19">
        <v>30</v>
      </c>
      <c r="G19" s="33" t="str">
        <f t="shared" si="0"/>
        <v>20-40-5-10-30</v>
      </c>
      <c r="H19" s="21" t="s">
        <v>904</v>
      </c>
      <c r="I19" s="21" t="s">
        <v>917</v>
      </c>
      <c r="J19" s="23" t="s">
        <v>925</v>
      </c>
      <c r="K19" s="14"/>
    </row>
    <row r="20" spans="2:18" ht="15">
      <c r="B20">
        <v>20</v>
      </c>
      <c r="C20">
        <v>40</v>
      </c>
      <c r="D20">
        <v>10</v>
      </c>
      <c r="E20">
        <v>5</v>
      </c>
      <c r="F20">
        <v>30</v>
      </c>
      <c r="G20" s="33" t="str">
        <f t="shared" si="0"/>
        <v>20-40-10-5-30</v>
      </c>
      <c r="H20" s="21" t="s">
        <v>927</v>
      </c>
      <c r="I20" s="21" t="s">
        <v>907</v>
      </c>
      <c r="J20" s="23" t="s">
        <v>919</v>
      </c>
      <c r="K20" s="14"/>
    </row>
    <row r="21" spans="2:18" ht="15">
      <c r="B21">
        <v>40</v>
      </c>
      <c r="C21">
        <v>5</v>
      </c>
      <c r="D21">
        <v>10</v>
      </c>
      <c r="E21">
        <v>20</v>
      </c>
      <c r="F21">
        <v>30</v>
      </c>
      <c r="G21" s="33" t="str">
        <f t="shared" si="0"/>
        <v>40-5-10-20-30</v>
      </c>
      <c r="H21" s="21" t="s">
        <v>907</v>
      </c>
      <c r="I21" s="21" t="s">
        <v>900</v>
      </c>
      <c r="J21" s="23" t="s">
        <v>905</v>
      </c>
      <c r="K21" s="14"/>
    </row>
    <row r="22" spans="2:18" ht="15">
      <c r="B22">
        <v>40</v>
      </c>
      <c r="C22">
        <v>5</v>
      </c>
      <c r="D22">
        <v>20</v>
      </c>
      <c r="E22">
        <v>10</v>
      </c>
      <c r="F22">
        <v>30</v>
      </c>
      <c r="G22" s="33" t="str">
        <f t="shared" si="0"/>
        <v>40-5-20-10-30</v>
      </c>
      <c r="H22" s="21" t="s">
        <v>917</v>
      </c>
      <c r="I22" s="21" t="s">
        <v>926</v>
      </c>
      <c r="J22" s="23" t="s">
        <v>917</v>
      </c>
      <c r="K22" s="14"/>
    </row>
    <row r="23" spans="2:18" ht="15">
      <c r="B23">
        <v>40</v>
      </c>
      <c r="C23">
        <v>10</v>
      </c>
      <c r="D23">
        <v>5</v>
      </c>
      <c r="E23">
        <v>20</v>
      </c>
      <c r="F23">
        <v>30</v>
      </c>
      <c r="G23" s="33" t="str">
        <f t="shared" si="0"/>
        <v>40-10-5-20-30</v>
      </c>
      <c r="H23" s="21" t="s">
        <v>928</v>
      </c>
      <c r="I23" s="21" t="s">
        <v>902</v>
      </c>
      <c r="J23" s="39" t="s">
        <v>929</v>
      </c>
      <c r="K23" s="14"/>
    </row>
    <row r="24" spans="2:18" ht="15">
      <c r="B24">
        <v>40</v>
      </c>
      <c r="C24">
        <v>10</v>
      </c>
      <c r="D24">
        <v>20</v>
      </c>
      <c r="E24">
        <v>5</v>
      </c>
      <c r="F24">
        <v>30</v>
      </c>
      <c r="G24" s="33" t="str">
        <f t="shared" si="0"/>
        <v>40-10-20-5-30</v>
      </c>
      <c r="H24" s="21" t="s">
        <v>918</v>
      </c>
      <c r="I24" s="21" t="s">
        <v>926</v>
      </c>
      <c r="J24" s="23" t="s">
        <v>903</v>
      </c>
      <c r="K24" s="14"/>
    </row>
    <row r="25" spans="2:18" ht="15">
      <c r="B25">
        <v>40</v>
      </c>
      <c r="C25">
        <v>20</v>
      </c>
      <c r="D25">
        <v>5</v>
      </c>
      <c r="E25">
        <v>10</v>
      </c>
      <c r="F25">
        <v>30</v>
      </c>
      <c r="G25" s="33" t="str">
        <f t="shared" si="0"/>
        <v>40-20-5-10-30</v>
      </c>
      <c r="H25" s="21" t="s">
        <v>902</v>
      </c>
      <c r="I25" s="21" t="s">
        <v>930</v>
      </c>
      <c r="J25" s="23" t="s">
        <v>900</v>
      </c>
      <c r="K25" s="11" t="s">
        <v>922</v>
      </c>
    </row>
    <row r="26" spans="2:18" ht="15">
      <c r="B26">
        <v>40</v>
      </c>
      <c r="C26">
        <v>20</v>
      </c>
      <c r="D26">
        <v>10</v>
      </c>
      <c r="E26">
        <v>5</v>
      </c>
      <c r="F26">
        <v>30</v>
      </c>
      <c r="G26" s="35" t="str">
        <f t="shared" si="0"/>
        <v>40-20-10-5-30</v>
      </c>
      <c r="H26" s="24" t="s">
        <v>931</v>
      </c>
      <c r="I26" s="24" t="s">
        <v>903</v>
      </c>
      <c r="J26" s="25" t="s">
        <v>923</v>
      </c>
      <c r="K26" s="14"/>
    </row>
    <row r="27" spans="2:18">
      <c r="B27">
        <v>40</v>
      </c>
      <c r="C27">
        <v>30</v>
      </c>
      <c r="D27">
        <v>10</v>
      </c>
      <c r="E27">
        <v>5</v>
      </c>
      <c r="F27">
        <v>20</v>
      </c>
      <c r="G27" s="15" t="str">
        <f t="shared" si="0"/>
        <v>40-30-10-5-20</v>
      </c>
      <c r="H27" s="14"/>
      <c r="I27" s="11" t="s">
        <v>922</v>
      </c>
      <c r="J27" s="14"/>
      <c r="K27" s="14"/>
    </row>
    <row r="28" spans="2:18">
      <c r="B28">
        <v>10</v>
      </c>
      <c r="C28">
        <v>40</v>
      </c>
      <c r="D28">
        <v>5</v>
      </c>
      <c r="E28">
        <v>30</v>
      </c>
      <c r="F28">
        <v>20</v>
      </c>
      <c r="G28" s="15" t="str">
        <f t="shared" si="0"/>
        <v>10-40-5-30-20</v>
      </c>
      <c r="H28" s="14"/>
      <c r="I28" s="11" t="s">
        <v>922</v>
      </c>
      <c r="J28" s="14"/>
      <c r="K28" s="14"/>
    </row>
    <row r="29" spans="2:18">
      <c r="B29">
        <v>30</v>
      </c>
      <c r="C29">
        <v>10</v>
      </c>
      <c r="D29">
        <v>40</v>
      </c>
      <c r="E29">
        <v>5</v>
      </c>
      <c r="F29">
        <v>20</v>
      </c>
      <c r="G29" s="15" t="str">
        <f t="shared" si="0"/>
        <v>30-10-40-5-20</v>
      </c>
      <c r="H29" s="11" t="s">
        <v>907</v>
      </c>
      <c r="I29" s="11" t="s">
        <v>922</v>
      </c>
      <c r="J29" s="11" t="s">
        <v>1000</v>
      </c>
      <c r="K29" s="14"/>
    </row>
    <row r="30" spans="2:18">
      <c r="B30">
        <v>20</v>
      </c>
      <c r="C30">
        <v>5</v>
      </c>
      <c r="D30">
        <v>30</v>
      </c>
      <c r="E30">
        <v>40</v>
      </c>
      <c r="F30">
        <v>10</v>
      </c>
      <c r="G30" s="15" t="str">
        <f t="shared" si="0"/>
        <v>20-5-30-40-10</v>
      </c>
      <c r="H30" s="11" t="s">
        <v>917</v>
      </c>
      <c r="I30" s="14"/>
      <c r="J30" s="11" t="s">
        <v>1000</v>
      </c>
      <c r="K30" s="14"/>
    </row>
    <row r="31" spans="2:18">
      <c r="B31">
        <v>20</v>
      </c>
      <c r="C31">
        <v>30</v>
      </c>
      <c r="D31">
        <v>10</v>
      </c>
      <c r="E31">
        <v>40</v>
      </c>
      <c r="F31">
        <v>5</v>
      </c>
      <c r="G31" s="15" t="str">
        <f t="shared" si="0"/>
        <v>20-30-10-40-5</v>
      </c>
      <c r="H31" s="14"/>
      <c r="I31" s="14"/>
      <c r="J31" s="14"/>
      <c r="K31" s="11" t="s">
        <v>932</v>
      </c>
    </row>
    <row r="32" spans="2:18">
      <c r="B32">
        <v>20</v>
      </c>
      <c r="C32">
        <v>30</v>
      </c>
      <c r="D32">
        <v>5</v>
      </c>
      <c r="E32">
        <v>40</v>
      </c>
      <c r="F32">
        <v>10</v>
      </c>
      <c r="G32" s="15" t="str">
        <f t="shared" si="0"/>
        <v>20-30-5-40-10</v>
      </c>
      <c r="H32" s="14"/>
      <c r="I32" s="14"/>
      <c r="J32" s="14"/>
      <c r="K32" s="11" t="s">
        <v>933</v>
      </c>
    </row>
    <row r="33" spans="2:12">
      <c r="B33" t="s">
        <v>6</v>
      </c>
      <c r="C33" t="s">
        <v>934</v>
      </c>
      <c r="D33" t="s">
        <v>6</v>
      </c>
      <c r="E33" t="s">
        <v>935</v>
      </c>
      <c r="F33" t="s">
        <v>936</v>
      </c>
      <c r="G33" s="15" t="str">
        <f t="shared" si="0"/>
        <v>T-O-T-A-L</v>
      </c>
      <c r="H33">
        <v>24</v>
      </c>
      <c r="I33">
        <f>24</f>
        <v>24</v>
      </c>
      <c r="J33">
        <f>24</f>
        <v>24</v>
      </c>
      <c r="L33">
        <f t="shared" ref="L33:L34" si="1">H33+I33+J33</f>
        <v>72</v>
      </c>
    </row>
    <row r="34" spans="2:12">
      <c r="H34">
        <v>26</v>
      </c>
      <c r="I34">
        <v>27</v>
      </c>
      <c r="J34">
        <v>26</v>
      </c>
      <c r="L34">
        <f t="shared" si="1"/>
        <v>79</v>
      </c>
    </row>
    <row r="35" spans="2:12">
      <c r="H35">
        <v>30</v>
      </c>
      <c r="I35">
        <v>29</v>
      </c>
      <c r="J35">
        <v>27</v>
      </c>
      <c r="L35">
        <f>H35+I35+J35</f>
        <v>86</v>
      </c>
    </row>
    <row r="37" spans="2:12">
      <c r="B37" s="36" t="s">
        <v>991</v>
      </c>
      <c r="C37" s="36" t="s">
        <v>992</v>
      </c>
      <c r="D37">
        <v>75</v>
      </c>
      <c r="E37">
        <v>150</v>
      </c>
      <c r="F37">
        <v>250</v>
      </c>
      <c r="G37" s="15" t="str">
        <f t="shared" ref="G37:G42" si="2">CONCATENATE(B37,"-",C37,"-",D37,"-",E37,"-",F37)</f>
        <v>(10-40)-75-150-250</v>
      </c>
      <c r="H37">
        <v>1</v>
      </c>
      <c r="I37">
        <v>2</v>
      </c>
      <c r="J37">
        <v>3</v>
      </c>
      <c r="K37" t="str">
        <f>CONCATENATE(H37,"-",I37,"-",J37)</f>
        <v>1-2-3</v>
      </c>
      <c r="L37" s="11" t="s">
        <v>908</v>
      </c>
    </row>
    <row r="38" spans="2:12">
      <c r="B38" s="36" t="s">
        <v>991</v>
      </c>
      <c r="C38" s="36" t="s">
        <v>992</v>
      </c>
      <c r="D38">
        <v>150</v>
      </c>
      <c r="E38">
        <v>75</v>
      </c>
      <c r="F38">
        <v>250</v>
      </c>
      <c r="G38" s="15" t="str">
        <f t="shared" si="2"/>
        <v>(10-40)-150-75-250</v>
      </c>
      <c r="H38">
        <v>2</v>
      </c>
      <c r="I38">
        <v>1</v>
      </c>
      <c r="J38">
        <v>3</v>
      </c>
      <c r="K38" t="str">
        <f t="shared" ref="K38:K42" si="3">CONCATENATE(H38,"-",I38,"-",J38)</f>
        <v>2-1-3</v>
      </c>
      <c r="L38" s="11" t="s">
        <v>920</v>
      </c>
    </row>
    <row r="39" spans="2:12">
      <c r="B39" s="36" t="s">
        <v>991</v>
      </c>
      <c r="C39" s="36" t="s">
        <v>992</v>
      </c>
      <c r="D39">
        <v>150</v>
      </c>
      <c r="E39">
        <v>250</v>
      </c>
      <c r="F39">
        <v>75</v>
      </c>
      <c r="G39" s="15" t="str">
        <f t="shared" si="2"/>
        <v>(10-40)-150-250-75</v>
      </c>
      <c r="H39">
        <v>3</v>
      </c>
      <c r="I39">
        <v>1</v>
      </c>
      <c r="J39">
        <v>2</v>
      </c>
      <c r="K39" t="str">
        <f t="shared" si="3"/>
        <v>3-1-2</v>
      </c>
      <c r="L39" s="11" t="s">
        <v>906</v>
      </c>
    </row>
    <row r="40" spans="2:12">
      <c r="B40" s="36" t="s">
        <v>991</v>
      </c>
      <c r="C40" s="36" t="s">
        <v>992</v>
      </c>
      <c r="D40">
        <v>250</v>
      </c>
      <c r="E40">
        <v>75</v>
      </c>
      <c r="F40">
        <v>150</v>
      </c>
      <c r="G40" s="15" t="str">
        <f t="shared" si="2"/>
        <v>(10-40)-250-75-150</v>
      </c>
      <c r="H40">
        <v>2</v>
      </c>
      <c r="I40">
        <v>3</v>
      </c>
      <c r="J40">
        <v>1</v>
      </c>
      <c r="K40" t="str">
        <f t="shared" si="3"/>
        <v>2-3-1</v>
      </c>
      <c r="L40" s="11" t="s">
        <v>937</v>
      </c>
    </row>
    <row r="41" spans="2:12">
      <c r="B41" s="36" t="s">
        <v>991</v>
      </c>
      <c r="C41" s="36" t="s">
        <v>992</v>
      </c>
      <c r="D41">
        <v>75</v>
      </c>
      <c r="E41">
        <v>250</v>
      </c>
      <c r="F41">
        <v>150</v>
      </c>
      <c r="G41" s="15" t="str">
        <f t="shared" si="2"/>
        <v>(10-40)-75-250-150</v>
      </c>
      <c r="H41">
        <v>1</v>
      </c>
      <c r="I41">
        <v>3</v>
      </c>
      <c r="J41">
        <v>2</v>
      </c>
      <c r="K41" t="str">
        <f t="shared" si="3"/>
        <v>1-3-2</v>
      </c>
      <c r="L41" s="11" t="s">
        <v>938</v>
      </c>
    </row>
    <row r="42" spans="2:12">
      <c r="B42" s="36" t="s">
        <v>991</v>
      </c>
      <c r="C42" s="36" t="s">
        <v>992</v>
      </c>
      <c r="D42">
        <v>250</v>
      </c>
      <c r="E42">
        <v>150</v>
      </c>
      <c r="F42">
        <v>75</v>
      </c>
      <c r="G42" s="15" t="str">
        <f t="shared" si="2"/>
        <v>(10-40)-250-150-75</v>
      </c>
      <c r="H42">
        <v>3</v>
      </c>
      <c r="I42">
        <v>2</v>
      </c>
      <c r="J42">
        <v>1</v>
      </c>
      <c r="K42" t="str">
        <f t="shared" si="3"/>
        <v>3-2-1</v>
      </c>
      <c r="L42" s="11" t="s">
        <v>921</v>
      </c>
    </row>
    <row r="43" spans="2:12">
      <c r="B43" s="14" t="s">
        <v>993</v>
      </c>
      <c r="C43" s="14" t="s">
        <v>994</v>
      </c>
      <c r="D43">
        <v>150</v>
      </c>
      <c r="E43">
        <v>75</v>
      </c>
      <c r="F43">
        <v>250</v>
      </c>
      <c r="G43" s="15" t="str">
        <f t="shared" ref="G43:G44" si="4">CONCATENATE(B43,"-",C43,"-",D43,"-",E43,"-",F43)</f>
        <v>(40-10)-150-75-250</v>
      </c>
      <c r="H43">
        <v>2</v>
      </c>
      <c r="I43">
        <v>1</v>
      </c>
      <c r="J43">
        <v>3</v>
      </c>
      <c r="K43" t="str">
        <f t="shared" ref="K43:K45" si="5">CONCATENATE(H43,"-",I43,"-",J43)</f>
        <v>2-1-3</v>
      </c>
      <c r="L43" s="11" t="s">
        <v>960</v>
      </c>
    </row>
    <row r="44" spans="2:12">
      <c r="B44" s="14" t="s">
        <v>993</v>
      </c>
      <c r="C44" s="14" t="s">
        <v>994</v>
      </c>
      <c r="D44">
        <v>75</v>
      </c>
      <c r="E44">
        <v>250</v>
      </c>
      <c r="F44">
        <v>150</v>
      </c>
      <c r="G44" s="15" t="str">
        <f t="shared" si="4"/>
        <v>(40-10)-75-250-150</v>
      </c>
      <c r="H44">
        <v>1</v>
      </c>
      <c r="I44">
        <v>3</v>
      </c>
      <c r="J44">
        <v>2</v>
      </c>
      <c r="K44" t="str">
        <f t="shared" si="5"/>
        <v>1-3-2</v>
      </c>
      <c r="L44" s="11" t="s">
        <v>960</v>
      </c>
    </row>
    <row r="45" spans="2:12">
      <c r="B45" s="14" t="s">
        <v>993</v>
      </c>
      <c r="C45" s="14" t="s">
        <v>994</v>
      </c>
      <c r="D45">
        <v>250</v>
      </c>
      <c r="E45">
        <v>150</v>
      </c>
      <c r="F45">
        <v>75</v>
      </c>
      <c r="G45" s="15" t="str">
        <f>CONCATENATE(B45,"-",C45,"-",D45,"-",E45,"-",F45)</f>
        <v>(40-10)-250-150-75</v>
      </c>
      <c r="H45">
        <v>3</v>
      </c>
      <c r="I45">
        <v>2</v>
      </c>
      <c r="J45">
        <v>1</v>
      </c>
      <c r="K45" t="str">
        <f t="shared" si="5"/>
        <v>3-2-1</v>
      </c>
      <c r="L45" s="11" t="s">
        <v>960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43"/>
  <sheetViews>
    <sheetView workbookViewId="0">
      <selection activeCell="G1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9.625" style="1" bestFit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O1" s="1" t="s">
        <v>973</v>
      </c>
      <c r="P1" s="1" t="s">
        <v>974</v>
      </c>
    </row>
    <row r="2" spans="1:16">
      <c r="A2" s="7" t="s">
        <v>1026</v>
      </c>
      <c r="B2" s="7" t="s">
        <v>854</v>
      </c>
      <c r="C2" s="7">
        <v>10</v>
      </c>
      <c r="D2" s="7">
        <v>0</v>
      </c>
      <c r="E2" s="7">
        <v>0</v>
      </c>
      <c r="F2" s="7">
        <v>50</v>
      </c>
      <c r="G2" s="7"/>
      <c r="H2" s="7">
        <v>1</v>
      </c>
      <c r="I2" s="7"/>
      <c r="J2" s="7">
        <v>107</v>
      </c>
      <c r="K2" s="7"/>
      <c r="L2" s="7">
        <v>9999</v>
      </c>
      <c r="M2" s="7">
        <v>9999</v>
      </c>
    </row>
    <row r="3" spans="1:16">
      <c r="A3" s="7" t="s">
        <v>1027</v>
      </c>
      <c r="B3" s="7" t="str">
        <f>B2</f>
        <v>ID1</v>
      </c>
      <c r="C3" s="7">
        <v>40</v>
      </c>
      <c r="D3" s="7">
        <v>1</v>
      </c>
      <c r="E3" s="7">
        <v>1</v>
      </c>
      <c r="F3" s="7">
        <f t="shared" ref="F3:F5" si="0">F2</f>
        <v>50</v>
      </c>
      <c r="G3" s="7"/>
      <c r="H3" s="7">
        <v>1</v>
      </c>
      <c r="I3" s="7"/>
      <c r="J3" s="7">
        <v>107</v>
      </c>
      <c r="K3" s="7"/>
      <c r="L3" s="7">
        <v>157</v>
      </c>
      <c r="M3" s="7">
        <f t="shared" ref="M3:M4" si="1">L3-J3</f>
        <v>50</v>
      </c>
    </row>
    <row r="4" spans="1:16">
      <c r="A4" s="7" t="s">
        <v>1029</v>
      </c>
      <c r="B4" s="7" t="str">
        <f t="shared" ref="B4:B7" si="2">B3</f>
        <v>ID1</v>
      </c>
      <c r="C4" s="7">
        <v>5</v>
      </c>
      <c r="D4" s="7">
        <v>1</v>
      </c>
      <c r="E4" s="7">
        <v>1</v>
      </c>
      <c r="F4" s="7">
        <f t="shared" si="0"/>
        <v>50</v>
      </c>
      <c r="G4" s="7"/>
      <c r="H4" s="7">
        <v>1</v>
      </c>
      <c r="I4" s="7"/>
      <c r="J4" s="7">
        <v>107</v>
      </c>
      <c r="K4" s="7"/>
      <c r="L4" s="7">
        <v>512</v>
      </c>
      <c r="M4" s="7">
        <f t="shared" si="1"/>
        <v>405</v>
      </c>
    </row>
    <row r="5" spans="1:16">
      <c r="A5" s="7" t="s">
        <v>1028</v>
      </c>
      <c r="B5" s="7" t="str">
        <f t="shared" si="2"/>
        <v>ID1</v>
      </c>
      <c r="C5" s="7">
        <v>30</v>
      </c>
      <c r="D5" s="7">
        <v>1</v>
      </c>
      <c r="E5" s="7">
        <v>1</v>
      </c>
      <c r="F5" s="7">
        <f t="shared" si="0"/>
        <v>50</v>
      </c>
      <c r="G5" s="7"/>
      <c r="H5" s="7">
        <v>1</v>
      </c>
      <c r="I5" s="7"/>
      <c r="J5" s="7">
        <v>107</v>
      </c>
      <c r="K5" s="7"/>
      <c r="L5" s="7">
        <v>171</v>
      </c>
      <c r="M5" s="7">
        <f>L5-J5</f>
        <v>64</v>
      </c>
    </row>
    <row r="6" spans="1:16">
      <c r="A6" s="7" t="s">
        <v>1031</v>
      </c>
      <c r="B6" s="7" t="str">
        <f t="shared" si="2"/>
        <v>ID1</v>
      </c>
      <c r="C6" s="7">
        <v>20</v>
      </c>
      <c r="D6" s="7">
        <v>1</v>
      </c>
      <c r="E6" s="7">
        <v>1</v>
      </c>
      <c r="F6" s="7">
        <f>F4</f>
        <v>50</v>
      </c>
      <c r="G6" s="7"/>
      <c r="H6" s="7">
        <v>1</v>
      </c>
      <c r="I6" s="7"/>
      <c r="J6" s="7">
        <v>107</v>
      </c>
      <c r="K6" s="7"/>
      <c r="L6" s="7">
        <v>208</v>
      </c>
      <c r="M6" s="7">
        <f t="shared" ref="M6" si="3">L6-J6</f>
        <v>101</v>
      </c>
    </row>
    <row r="7" spans="1:16">
      <c r="A7" s="7" t="s">
        <v>1030</v>
      </c>
      <c r="B7" s="7" t="str">
        <f t="shared" si="2"/>
        <v>ID1</v>
      </c>
      <c r="C7" s="7">
        <v>10</v>
      </c>
      <c r="D7" s="7">
        <v>0</v>
      </c>
      <c r="E7" s="7">
        <v>0</v>
      </c>
      <c r="F7" s="7">
        <f>F5</f>
        <v>50</v>
      </c>
      <c r="G7" s="7"/>
      <c r="H7" s="7">
        <v>2</v>
      </c>
      <c r="I7" s="7"/>
      <c r="J7" s="7">
        <v>107</v>
      </c>
      <c r="K7" s="7"/>
      <c r="L7" s="7">
        <v>9999</v>
      </c>
      <c r="M7" s="7">
        <v>9999</v>
      </c>
    </row>
    <row r="8" spans="1:16">
      <c r="A8" s="5" t="s">
        <v>1032</v>
      </c>
      <c r="B8" s="5" t="s">
        <v>862</v>
      </c>
      <c r="C8" s="5">
        <v>20</v>
      </c>
      <c r="D8" s="5">
        <v>1</v>
      </c>
      <c r="E8" s="5">
        <v>1</v>
      </c>
      <c r="F8" s="5">
        <v>50</v>
      </c>
      <c r="G8" s="5"/>
      <c r="H8" s="5">
        <v>1</v>
      </c>
      <c r="I8" s="5"/>
      <c r="J8" s="5">
        <v>107</v>
      </c>
      <c r="K8" s="5"/>
      <c r="L8" s="5">
        <v>209</v>
      </c>
      <c r="M8" s="5">
        <f>L8-J8</f>
        <v>102</v>
      </c>
    </row>
    <row r="9" spans="1:16">
      <c r="A9" s="5" t="s">
        <v>1034</v>
      </c>
      <c r="B9" s="5" t="str">
        <f>B8</f>
        <v>ID2</v>
      </c>
      <c r="C9" s="5">
        <v>5</v>
      </c>
      <c r="D9" s="5">
        <v>0</v>
      </c>
      <c r="E9" s="5">
        <v>0</v>
      </c>
      <c r="F9" s="5">
        <f>F8</f>
        <v>50</v>
      </c>
      <c r="G9" s="5"/>
      <c r="H9" s="5">
        <v>1</v>
      </c>
      <c r="I9" s="5"/>
      <c r="J9" s="5">
        <v>107</v>
      </c>
      <c r="K9" s="5"/>
      <c r="L9" s="5">
        <v>9999</v>
      </c>
      <c r="M9" s="5">
        <v>9999</v>
      </c>
    </row>
    <row r="10" spans="1:16">
      <c r="A10" s="5" t="s">
        <v>1033</v>
      </c>
      <c r="B10" s="5" t="str">
        <f t="shared" ref="B10:B13" si="4">B9</f>
        <v>ID2</v>
      </c>
      <c r="C10" s="5">
        <v>40</v>
      </c>
      <c r="D10" s="5">
        <v>1</v>
      </c>
      <c r="E10" s="5">
        <v>1</v>
      </c>
      <c r="F10" s="5">
        <f t="shared" ref="F10:F13" si="5">F9</f>
        <v>50</v>
      </c>
      <c r="G10" s="5"/>
      <c r="H10" s="5">
        <v>1</v>
      </c>
      <c r="I10" s="5"/>
      <c r="J10" s="5">
        <v>107</v>
      </c>
      <c r="K10" s="5"/>
      <c r="L10" s="5">
        <v>160</v>
      </c>
      <c r="M10" s="5">
        <f t="shared" ref="M10" si="6">L10-J10</f>
        <v>53</v>
      </c>
    </row>
    <row r="11" spans="1:16">
      <c r="A11" s="5" t="s">
        <v>1035</v>
      </c>
      <c r="B11" s="5" t="str">
        <f t="shared" si="4"/>
        <v>ID2</v>
      </c>
      <c r="C11" s="5">
        <v>10</v>
      </c>
      <c r="D11" s="5">
        <v>0</v>
      </c>
      <c r="E11" s="5">
        <v>0</v>
      </c>
      <c r="F11" s="5">
        <f t="shared" si="5"/>
        <v>50</v>
      </c>
      <c r="G11" s="5"/>
      <c r="H11" s="5">
        <v>1</v>
      </c>
      <c r="I11" s="5"/>
      <c r="J11" s="5">
        <v>107</v>
      </c>
      <c r="K11" s="5"/>
      <c r="L11" s="5">
        <v>9999</v>
      </c>
      <c r="M11" s="5">
        <v>9999</v>
      </c>
    </row>
    <row r="12" spans="1:16">
      <c r="A12" s="5" t="s">
        <v>1036</v>
      </c>
      <c r="B12" s="5" t="str">
        <f t="shared" si="4"/>
        <v>ID2</v>
      </c>
      <c r="C12" s="5">
        <v>30</v>
      </c>
      <c r="D12" s="5">
        <v>0</v>
      </c>
      <c r="E12" s="5">
        <v>1</v>
      </c>
      <c r="F12" s="5">
        <f t="shared" si="5"/>
        <v>50</v>
      </c>
      <c r="G12" s="5"/>
      <c r="H12" s="5">
        <v>1</v>
      </c>
      <c r="I12" s="5"/>
      <c r="J12" s="5">
        <v>107</v>
      </c>
      <c r="K12" s="5"/>
      <c r="L12" s="5">
        <v>178</v>
      </c>
      <c r="M12" s="5">
        <f>L12-J12</f>
        <v>71</v>
      </c>
    </row>
    <row r="13" spans="1:16">
      <c r="A13" s="5" t="s">
        <v>1037</v>
      </c>
      <c r="B13" s="5" t="str">
        <f t="shared" si="4"/>
        <v>ID2</v>
      </c>
      <c r="C13" s="5">
        <v>20</v>
      </c>
      <c r="D13" s="5">
        <v>1</v>
      </c>
      <c r="E13" s="5">
        <v>1</v>
      </c>
      <c r="F13" s="5">
        <f t="shared" si="5"/>
        <v>50</v>
      </c>
      <c r="G13" s="5"/>
      <c r="H13" s="5">
        <v>2</v>
      </c>
      <c r="I13" s="5"/>
      <c r="J13" s="5">
        <v>107</v>
      </c>
      <c r="K13" s="5"/>
      <c r="L13" s="5">
        <v>210</v>
      </c>
      <c r="M13" s="5">
        <f t="shared" ref="M13:M16" si="7">L13-J13</f>
        <v>103</v>
      </c>
    </row>
    <row r="14" spans="1:16">
      <c r="A14" s="7" t="s">
        <v>1038</v>
      </c>
      <c r="B14" s="7" t="s">
        <v>870</v>
      </c>
      <c r="C14" s="7">
        <v>30</v>
      </c>
      <c r="D14" s="7">
        <v>1</v>
      </c>
      <c r="E14" s="7">
        <v>1</v>
      </c>
      <c r="F14" s="7">
        <v>250</v>
      </c>
      <c r="G14" s="7"/>
      <c r="H14" s="7">
        <v>1</v>
      </c>
      <c r="I14" s="7"/>
      <c r="J14" s="7">
        <v>107</v>
      </c>
      <c r="K14" s="7"/>
      <c r="L14" s="7">
        <v>151</v>
      </c>
      <c r="M14" s="7">
        <f t="shared" si="7"/>
        <v>44</v>
      </c>
    </row>
    <row r="15" spans="1:16">
      <c r="A15" s="7" t="s">
        <v>1040</v>
      </c>
      <c r="B15" s="7" t="str">
        <f>B14</f>
        <v>ID3</v>
      </c>
      <c r="C15" s="7">
        <v>10</v>
      </c>
      <c r="D15" s="7">
        <v>0</v>
      </c>
      <c r="E15" s="7">
        <v>0</v>
      </c>
      <c r="F15" s="7">
        <f t="shared" ref="F15:F17" si="8">F14</f>
        <v>250</v>
      </c>
      <c r="G15" s="7"/>
      <c r="H15" s="7">
        <v>1</v>
      </c>
      <c r="I15" s="7"/>
      <c r="J15" s="7">
        <v>107</v>
      </c>
      <c r="K15" s="7"/>
      <c r="L15" s="7">
        <v>9999</v>
      </c>
      <c r="M15" s="7">
        <v>9999</v>
      </c>
    </row>
    <row r="16" spans="1:16">
      <c r="A16" s="7" t="s">
        <v>1039</v>
      </c>
      <c r="B16" s="7" t="str">
        <f t="shared" ref="B16:B19" si="9">B15</f>
        <v>ID3</v>
      </c>
      <c r="C16" s="7">
        <v>40</v>
      </c>
      <c r="D16" s="7">
        <v>1</v>
      </c>
      <c r="E16" s="7">
        <v>1</v>
      </c>
      <c r="F16" s="7">
        <f t="shared" si="8"/>
        <v>250</v>
      </c>
      <c r="G16" s="7"/>
      <c r="H16" s="7">
        <v>1</v>
      </c>
      <c r="I16" s="7"/>
      <c r="J16" s="7">
        <v>107</v>
      </c>
      <c r="K16" s="7"/>
      <c r="L16" s="7">
        <v>155</v>
      </c>
      <c r="M16" s="7">
        <f t="shared" si="7"/>
        <v>48</v>
      </c>
    </row>
    <row r="17" spans="1:13">
      <c r="A17" s="7" t="s">
        <v>1041</v>
      </c>
      <c r="B17" s="7" t="str">
        <f t="shared" si="9"/>
        <v>ID3</v>
      </c>
      <c r="C17" s="7">
        <v>5</v>
      </c>
      <c r="D17" s="7">
        <v>0</v>
      </c>
      <c r="E17" s="7">
        <v>0</v>
      </c>
      <c r="F17" s="7">
        <f t="shared" si="8"/>
        <v>250</v>
      </c>
      <c r="G17" s="7"/>
      <c r="H17" s="7">
        <v>1</v>
      </c>
      <c r="I17" s="7"/>
      <c r="J17" s="7">
        <v>107</v>
      </c>
      <c r="K17" s="7"/>
      <c r="L17" s="7">
        <v>9999</v>
      </c>
      <c r="M17" s="7">
        <v>9999</v>
      </c>
    </row>
    <row r="18" spans="1:13">
      <c r="A18" s="7" t="s">
        <v>1042</v>
      </c>
      <c r="B18" s="7" t="str">
        <f t="shared" si="9"/>
        <v>ID3</v>
      </c>
      <c r="C18" s="7">
        <v>20</v>
      </c>
      <c r="D18" s="7">
        <v>1</v>
      </c>
      <c r="E18" s="7">
        <v>1</v>
      </c>
      <c r="F18" s="7">
        <f>F16</f>
        <v>250</v>
      </c>
      <c r="G18" s="7"/>
      <c r="H18" s="7">
        <v>1</v>
      </c>
      <c r="I18" s="7"/>
      <c r="J18" s="7">
        <v>107</v>
      </c>
      <c r="K18" s="7"/>
      <c r="L18" s="7">
        <v>191</v>
      </c>
      <c r="M18" s="7">
        <f t="shared" ref="M18:M19" si="10">L18-J18</f>
        <v>84</v>
      </c>
    </row>
    <row r="19" spans="1:13">
      <c r="A19" s="7" t="s">
        <v>1043</v>
      </c>
      <c r="B19" s="7" t="str">
        <f t="shared" si="9"/>
        <v>ID3</v>
      </c>
      <c r="C19" s="7">
        <v>30</v>
      </c>
      <c r="D19" s="7">
        <v>1</v>
      </c>
      <c r="E19" s="7">
        <v>1</v>
      </c>
      <c r="F19" s="7">
        <f>F17</f>
        <v>250</v>
      </c>
      <c r="G19" s="7"/>
      <c r="H19" s="7">
        <v>2</v>
      </c>
      <c r="I19" s="7"/>
      <c r="J19" s="7">
        <v>107</v>
      </c>
      <c r="K19" s="7"/>
      <c r="L19" s="7">
        <v>154</v>
      </c>
      <c r="M19" s="7">
        <f t="shared" si="10"/>
        <v>47</v>
      </c>
    </row>
    <row r="20" spans="1:13">
      <c r="A20" s="5" t="s">
        <v>1044</v>
      </c>
      <c r="B20" s="5" t="s">
        <v>982</v>
      </c>
      <c r="C20" s="5">
        <v>20</v>
      </c>
      <c r="D20" s="5">
        <v>0</v>
      </c>
      <c r="E20" s="5">
        <v>1</v>
      </c>
      <c r="F20" s="5">
        <v>250</v>
      </c>
      <c r="G20" s="5"/>
      <c r="H20" s="5">
        <v>1</v>
      </c>
      <c r="I20" s="5"/>
      <c r="J20" s="5">
        <v>107</v>
      </c>
      <c r="K20" s="5"/>
      <c r="L20" s="5">
        <v>218</v>
      </c>
      <c r="M20" s="5">
        <f>L20-J20</f>
        <v>111</v>
      </c>
    </row>
    <row r="21" spans="1:13">
      <c r="A21" s="5" t="s">
        <v>1045</v>
      </c>
      <c r="B21" s="5" t="str">
        <f>B20</f>
        <v>ID4</v>
      </c>
      <c r="C21" s="5">
        <v>5</v>
      </c>
      <c r="D21" s="5">
        <v>1</v>
      </c>
      <c r="E21" s="5">
        <v>1</v>
      </c>
      <c r="F21" s="5">
        <f>F20</f>
        <v>250</v>
      </c>
      <c r="G21" s="5"/>
      <c r="H21" s="5">
        <v>1</v>
      </c>
      <c r="I21" s="5"/>
      <c r="J21" s="5">
        <v>107</v>
      </c>
      <c r="K21" s="5"/>
      <c r="L21" s="5">
        <v>437</v>
      </c>
      <c r="M21" s="5">
        <f t="shared" ref="M21:M23" si="11">L21-J21</f>
        <v>330</v>
      </c>
    </row>
    <row r="22" spans="1:13">
      <c r="A22" s="5" t="s">
        <v>1046</v>
      </c>
      <c r="B22" s="5" t="str">
        <f t="shared" ref="B22:B25" si="12">B21</f>
        <v>ID4</v>
      </c>
      <c r="C22" s="5">
        <v>30</v>
      </c>
      <c r="D22" s="5">
        <v>1</v>
      </c>
      <c r="E22" s="5">
        <v>1</v>
      </c>
      <c r="F22" s="5">
        <f t="shared" ref="F22:F25" si="13">F21</f>
        <v>250</v>
      </c>
      <c r="G22" s="5"/>
      <c r="H22" s="5">
        <v>1</v>
      </c>
      <c r="I22" s="5"/>
      <c r="J22" s="5">
        <v>107</v>
      </c>
      <c r="K22" s="5"/>
      <c r="L22" s="5">
        <v>153</v>
      </c>
      <c r="M22" s="5">
        <f t="shared" si="11"/>
        <v>46</v>
      </c>
    </row>
    <row r="23" spans="1:13">
      <c r="A23" s="5" t="s">
        <v>1047</v>
      </c>
      <c r="B23" s="5" t="str">
        <f t="shared" si="12"/>
        <v>ID4</v>
      </c>
      <c r="C23" s="5">
        <v>40</v>
      </c>
      <c r="D23" s="5">
        <v>1</v>
      </c>
      <c r="E23" s="5">
        <v>1</v>
      </c>
      <c r="F23" s="5">
        <f t="shared" si="13"/>
        <v>250</v>
      </c>
      <c r="G23" s="5"/>
      <c r="H23" s="5">
        <v>1</v>
      </c>
      <c r="I23" s="5"/>
      <c r="J23" s="5">
        <v>107</v>
      </c>
      <c r="K23" s="5"/>
      <c r="L23" s="5">
        <v>145</v>
      </c>
      <c r="M23" s="5">
        <f t="shared" si="11"/>
        <v>38</v>
      </c>
    </row>
    <row r="24" spans="1:13">
      <c r="A24" s="5" t="s">
        <v>1048</v>
      </c>
      <c r="B24" s="5" t="str">
        <f t="shared" si="12"/>
        <v>ID4</v>
      </c>
      <c r="C24" s="5">
        <v>10</v>
      </c>
      <c r="D24" s="5">
        <v>0</v>
      </c>
      <c r="E24" s="5">
        <v>1</v>
      </c>
      <c r="F24" s="5">
        <f t="shared" si="13"/>
        <v>250</v>
      </c>
      <c r="G24" s="5"/>
      <c r="H24" s="5">
        <v>1</v>
      </c>
      <c r="I24" s="5"/>
      <c r="J24" s="5">
        <v>107</v>
      </c>
      <c r="K24" s="5"/>
      <c r="L24" s="5">
        <v>327</v>
      </c>
      <c r="M24" s="5">
        <f>L24-J24</f>
        <v>220</v>
      </c>
    </row>
    <row r="25" spans="1:13">
      <c r="A25" s="5" t="s">
        <v>1049</v>
      </c>
      <c r="B25" s="5" t="str">
        <f t="shared" si="12"/>
        <v>ID4</v>
      </c>
      <c r="C25" s="5">
        <v>20</v>
      </c>
      <c r="D25" s="5">
        <v>0</v>
      </c>
      <c r="E25" s="5">
        <v>1</v>
      </c>
      <c r="F25" s="5">
        <f t="shared" si="13"/>
        <v>250</v>
      </c>
      <c r="G25" s="5"/>
      <c r="H25" s="5">
        <v>2</v>
      </c>
      <c r="I25" s="5"/>
      <c r="J25" s="5">
        <v>107</v>
      </c>
      <c r="K25" s="5"/>
      <c r="L25" s="5">
        <v>218</v>
      </c>
      <c r="M25" s="5">
        <f t="shared" ref="M25:M28" si="14">L25-J25</f>
        <v>111</v>
      </c>
    </row>
    <row r="26" spans="1:13">
      <c r="A26" s="7" t="s">
        <v>1051</v>
      </c>
      <c r="B26" s="7" t="s">
        <v>1050</v>
      </c>
      <c r="C26" s="7">
        <v>40</v>
      </c>
      <c r="D26" s="7">
        <v>1</v>
      </c>
      <c r="E26" s="7">
        <v>1</v>
      </c>
      <c r="F26" s="7">
        <v>50</v>
      </c>
      <c r="G26" s="7"/>
      <c r="H26" s="7">
        <v>1</v>
      </c>
      <c r="I26" s="7"/>
      <c r="J26" s="7">
        <v>107</v>
      </c>
      <c r="K26" s="7"/>
      <c r="L26" s="7">
        <v>148</v>
      </c>
      <c r="M26" s="7">
        <f t="shared" si="14"/>
        <v>41</v>
      </c>
    </row>
    <row r="27" spans="1:13">
      <c r="A27" s="7" t="s">
        <v>1052</v>
      </c>
      <c r="B27" s="7" t="str">
        <f>B26</f>
        <v>ID5</v>
      </c>
      <c r="C27" s="7">
        <v>10</v>
      </c>
      <c r="D27" s="7">
        <v>1</v>
      </c>
      <c r="E27" s="7">
        <v>1</v>
      </c>
      <c r="F27" s="7">
        <f t="shared" ref="F27:F29" si="15">F26</f>
        <v>50</v>
      </c>
      <c r="G27" s="7"/>
      <c r="H27" s="7">
        <v>1</v>
      </c>
      <c r="I27" s="7"/>
      <c r="J27" s="7">
        <v>107</v>
      </c>
      <c r="K27" s="7"/>
      <c r="L27" s="7">
        <v>299</v>
      </c>
      <c r="M27" s="7">
        <f t="shared" si="14"/>
        <v>192</v>
      </c>
    </row>
    <row r="28" spans="1:13">
      <c r="A28" s="7" t="s">
        <v>1054</v>
      </c>
      <c r="B28" s="7" t="str">
        <f t="shared" ref="B28:B31" si="16">B27</f>
        <v>ID5</v>
      </c>
      <c r="C28" s="7">
        <v>20</v>
      </c>
      <c r="D28" s="7">
        <v>1</v>
      </c>
      <c r="E28" s="7">
        <v>1</v>
      </c>
      <c r="F28" s="7">
        <f t="shared" si="15"/>
        <v>50</v>
      </c>
      <c r="G28" s="7"/>
      <c r="H28" s="7">
        <v>1</v>
      </c>
      <c r="I28" s="7"/>
      <c r="J28" s="7">
        <v>107</v>
      </c>
      <c r="K28" s="7"/>
      <c r="L28" s="7">
        <v>206</v>
      </c>
      <c r="M28" s="7">
        <f t="shared" si="14"/>
        <v>99</v>
      </c>
    </row>
    <row r="29" spans="1:13">
      <c r="A29" s="7" t="s">
        <v>1056</v>
      </c>
      <c r="B29" s="7" t="str">
        <f t="shared" si="16"/>
        <v>ID5</v>
      </c>
      <c r="C29" s="7">
        <v>5</v>
      </c>
      <c r="D29" s="7">
        <v>0</v>
      </c>
      <c r="E29" s="7">
        <v>0</v>
      </c>
      <c r="F29" s="7">
        <f t="shared" si="15"/>
        <v>50</v>
      </c>
      <c r="G29" s="7"/>
      <c r="H29" s="7">
        <v>1</v>
      </c>
      <c r="I29" s="7"/>
      <c r="J29" s="7">
        <v>107</v>
      </c>
      <c r="K29" s="7"/>
      <c r="L29" s="7">
        <v>9999</v>
      </c>
      <c r="M29" s="7">
        <v>9999</v>
      </c>
    </row>
    <row r="30" spans="1:13">
      <c r="A30" s="7" t="s">
        <v>1055</v>
      </c>
      <c r="B30" s="7" t="str">
        <f t="shared" si="16"/>
        <v>ID5</v>
      </c>
      <c r="C30" s="7">
        <v>30</v>
      </c>
      <c r="D30" s="7">
        <v>1</v>
      </c>
      <c r="E30" s="7">
        <v>1</v>
      </c>
      <c r="F30" s="7">
        <f>F28</f>
        <v>50</v>
      </c>
      <c r="G30" s="7"/>
      <c r="H30" s="7">
        <v>1</v>
      </c>
      <c r="I30" s="7"/>
      <c r="J30" s="7">
        <v>107</v>
      </c>
      <c r="K30" s="7"/>
      <c r="L30" s="7">
        <v>174</v>
      </c>
      <c r="M30" s="7">
        <f t="shared" ref="M30:M31" si="17">L30-J30</f>
        <v>67</v>
      </c>
    </row>
    <row r="31" spans="1:13">
      <c r="A31" s="7" t="s">
        <v>1053</v>
      </c>
      <c r="B31" s="7" t="str">
        <f t="shared" si="16"/>
        <v>ID5</v>
      </c>
      <c r="C31" s="7">
        <v>40</v>
      </c>
      <c r="D31" s="7">
        <v>1</v>
      </c>
      <c r="E31" s="7">
        <v>1</v>
      </c>
      <c r="F31" s="7">
        <f>F29</f>
        <v>50</v>
      </c>
      <c r="G31" s="7"/>
      <c r="H31" s="7">
        <v>2</v>
      </c>
      <c r="I31" s="7"/>
      <c r="J31" s="7">
        <v>107</v>
      </c>
      <c r="K31" s="7"/>
      <c r="L31" s="7">
        <v>152</v>
      </c>
      <c r="M31" s="7">
        <f t="shared" si="17"/>
        <v>45</v>
      </c>
    </row>
    <row r="32" spans="1:13">
      <c r="A32" s="5" t="s">
        <v>1058</v>
      </c>
      <c r="B32" s="5" t="s">
        <v>1057</v>
      </c>
      <c r="C32" s="5">
        <v>5</v>
      </c>
      <c r="D32" s="5">
        <v>0</v>
      </c>
      <c r="E32" s="5">
        <v>0</v>
      </c>
      <c r="F32" s="5">
        <v>50</v>
      </c>
      <c r="G32" s="5"/>
      <c r="H32" s="5">
        <v>1</v>
      </c>
      <c r="I32" s="5"/>
      <c r="J32" s="5">
        <v>107</v>
      </c>
      <c r="K32" s="5"/>
      <c r="L32" s="5">
        <v>9999</v>
      </c>
      <c r="M32" s="5">
        <v>9999</v>
      </c>
    </row>
    <row r="33" spans="1:13">
      <c r="A33" s="5" t="s">
        <v>1061</v>
      </c>
      <c r="B33" s="5" t="str">
        <f>B32</f>
        <v>ID6</v>
      </c>
      <c r="C33" s="5">
        <v>10</v>
      </c>
      <c r="D33" s="5">
        <v>0</v>
      </c>
      <c r="E33" s="5">
        <v>1</v>
      </c>
      <c r="F33" s="5">
        <f>F32</f>
        <v>50</v>
      </c>
      <c r="G33" s="5"/>
      <c r="H33" s="5">
        <v>1</v>
      </c>
      <c r="I33" s="5"/>
      <c r="J33" s="5">
        <v>107</v>
      </c>
      <c r="K33" s="5"/>
      <c r="L33" s="5">
        <v>314</v>
      </c>
      <c r="M33" s="5">
        <f t="shared" ref="M33:M35" si="18">L33-J33</f>
        <v>207</v>
      </c>
    </row>
    <row r="34" spans="1:13">
      <c r="A34" s="5" t="s">
        <v>1062</v>
      </c>
      <c r="B34" s="5" t="str">
        <f t="shared" ref="B34:B37" si="19">B33</f>
        <v>ID6</v>
      </c>
      <c r="C34" s="5">
        <v>20</v>
      </c>
      <c r="D34" s="5">
        <v>1</v>
      </c>
      <c r="E34" s="5">
        <v>1</v>
      </c>
      <c r="F34" s="5">
        <f t="shared" ref="F34:F37" si="20">F33</f>
        <v>50</v>
      </c>
      <c r="G34" s="5"/>
      <c r="H34" s="5">
        <v>1</v>
      </c>
      <c r="I34" s="5"/>
      <c r="J34" s="5">
        <v>107</v>
      </c>
      <c r="K34" s="5"/>
      <c r="L34" s="5">
        <v>206</v>
      </c>
      <c r="M34" s="5">
        <f t="shared" si="18"/>
        <v>99</v>
      </c>
    </row>
    <row r="35" spans="1:13">
      <c r="A35" s="5" t="s">
        <v>1063</v>
      </c>
      <c r="B35" s="5" t="str">
        <f t="shared" si="19"/>
        <v>ID6</v>
      </c>
      <c r="C35" s="5">
        <v>40</v>
      </c>
      <c r="D35" s="5">
        <v>1</v>
      </c>
      <c r="E35" s="5">
        <v>1</v>
      </c>
      <c r="F35" s="5">
        <f t="shared" si="20"/>
        <v>50</v>
      </c>
      <c r="G35" s="5"/>
      <c r="H35" s="5">
        <v>1</v>
      </c>
      <c r="I35" s="5"/>
      <c r="J35" s="5">
        <v>107</v>
      </c>
      <c r="K35" s="5"/>
      <c r="L35" s="5">
        <v>154</v>
      </c>
      <c r="M35" s="5">
        <f t="shared" si="18"/>
        <v>47</v>
      </c>
    </row>
    <row r="36" spans="1:13">
      <c r="A36" s="5" t="s">
        <v>1064</v>
      </c>
      <c r="B36" s="5" t="str">
        <f t="shared" si="19"/>
        <v>ID6</v>
      </c>
      <c r="C36" s="5">
        <v>30</v>
      </c>
      <c r="D36" s="5">
        <v>1</v>
      </c>
      <c r="E36" s="5">
        <v>1</v>
      </c>
      <c r="F36" s="5">
        <f t="shared" si="20"/>
        <v>50</v>
      </c>
      <c r="G36" s="5"/>
      <c r="H36" s="5">
        <v>1</v>
      </c>
      <c r="I36" s="5"/>
      <c r="J36" s="5">
        <v>107</v>
      </c>
      <c r="K36" s="5"/>
      <c r="L36" s="5">
        <v>175</v>
      </c>
      <c r="M36" s="5">
        <f>L36-J36</f>
        <v>68</v>
      </c>
    </row>
    <row r="37" spans="1:13">
      <c r="A37" s="5" t="s">
        <v>1059</v>
      </c>
      <c r="B37" s="5" t="str">
        <f t="shared" si="19"/>
        <v>ID6</v>
      </c>
      <c r="C37" s="5">
        <v>5</v>
      </c>
      <c r="D37" s="5">
        <v>0</v>
      </c>
      <c r="E37" s="5">
        <v>0</v>
      </c>
      <c r="F37" s="5">
        <f t="shared" si="20"/>
        <v>50</v>
      </c>
      <c r="G37" s="5"/>
      <c r="H37" s="5">
        <v>2</v>
      </c>
      <c r="I37" s="5"/>
      <c r="J37" s="5">
        <v>107</v>
      </c>
      <c r="K37" s="5"/>
      <c r="L37" s="5">
        <v>9999</v>
      </c>
      <c r="M37" s="5">
        <v>9999</v>
      </c>
    </row>
    <row r="38" spans="1:13">
      <c r="A38" s="7" t="s">
        <v>1070</v>
      </c>
      <c r="B38" s="7" t="s">
        <v>1060</v>
      </c>
      <c r="C38" s="7">
        <v>5</v>
      </c>
      <c r="D38" s="7">
        <v>0</v>
      </c>
      <c r="E38" s="7">
        <v>0</v>
      </c>
      <c r="F38" s="7">
        <v>50</v>
      </c>
      <c r="G38" s="7"/>
      <c r="H38" s="7">
        <v>1</v>
      </c>
      <c r="I38" s="7"/>
      <c r="J38" s="7">
        <v>107</v>
      </c>
      <c r="K38" s="7"/>
      <c r="L38" s="7">
        <v>9999</v>
      </c>
      <c r="M38" s="7">
        <v>9999</v>
      </c>
    </row>
    <row r="39" spans="1:13">
      <c r="A39" s="7" t="s">
        <v>1069</v>
      </c>
      <c r="B39" s="7" t="str">
        <f>B38</f>
        <v>ID7</v>
      </c>
      <c r="C39" s="7">
        <v>20</v>
      </c>
      <c r="D39" s="7">
        <v>0</v>
      </c>
      <c r="E39" s="7">
        <v>0</v>
      </c>
      <c r="F39" s="7">
        <f t="shared" ref="F39:F41" si="21">F38</f>
        <v>50</v>
      </c>
      <c r="G39" s="7"/>
      <c r="H39" s="7">
        <v>1</v>
      </c>
      <c r="I39" s="7"/>
      <c r="J39" s="7">
        <v>107</v>
      </c>
      <c r="K39" s="7"/>
      <c r="L39" s="7">
        <v>9999</v>
      </c>
      <c r="M39" s="7">
        <v>9999</v>
      </c>
    </row>
    <row r="40" spans="1:13">
      <c r="A40" s="7" t="s">
        <v>1068</v>
      </c>
      <c r="B40" s="7" t="str">
        <f t="shared" ref="B40:B43" si="22">B39</f>
        <v>ID7</v>
      </c>
      <c r="C40" s="7">
        <v>10</v>
      </c>
      <c r="D40" s="7">
        <v>0</v>
      </c>
      <c r="E40" s="7">
        <v>0</v>
      </c>
      <c r="F40" s="7">
        <f t="shared" si="21"/>
        <v>50</v>
      </c>
      <c r="G40" s="7"/>
      <c r="H40" s="7">
        <v>1</v>
      </c>
      <c r="I40" s="7"/>
      <c r="J40" s="7">
        <v>107</v>
      </c>
      <c r="K40" s="7"/>
      <c r="L40" s="7">
        <v>9999</v>
      </c>
      <c r="M40" s="7">
        <v>9999</v>
      </c>
    </row>
    <row r="41" spans="1:13">
      <c r="A41" s="7" t="s">
        <v>1067</v>
      </c>
      <c r="B41" s="7" t="str">
        <f t="shared" si="22"/>
        <v>ID7</v>
      </c>
      <c r="C41" s="7">
        <v>40</v>
      </c>
      <c r="D41" s="7">
        <v>0</v>
      </c>
      <c r="E41" s="7">
        <v>0</v>
      </c>
      <c r="F41" s="7">
        <f t="shared" si="21"/>
        <v>50</v>
      </c>
      <c r="G41" s="7"/>
      <c r="H41" s="7">
        <v>1</v>
      </c>
      <c r="I41" s="7"/>
      <c r="J41" s="7">
        <v>107</v>
      </c>
      <c r="K41" s="7"/>
      <c r="L41" s="7">
        <v>9999</v>
      </c>
      <c r="M41" s="7">
        <v>9999</v>
      </c>
    </row>
    <row r="42" spans="1:13">
      <c r="A42" s="7" t="s">
        <v>1066</v>
      </c>
      <c r="B42" s="7" t="str">
        <f t="shared" si="22"/>
        <v>ID7</v>
      </c>
      <c r="C42" s="7">
        <v>30</v>
      </c>
      <c r="D42" s="7">
        <v>0</v>
      </c>
      <c r="E42" s="7">
        <v>0</v>
      </c>
      <c r="F42" s="7">
        <f>F40</f>
        <v>50</v>
      </c>
      <c r="G42" s="7"/>
      <c r="H42" s="7">
        <v>1</v>
      </c>
      <c r="I42" s="7"/>
      <c r="J42" s="7">
        <v>107</v>
      </c>
      <c r="K42" s="7"/>
      <c r="L42" s="7">
        <v>9999</v>
      </c>
      <c r="M42" s="7">
        <v>9999</v>
      </c>
    </row>
    <row r="43" spans="1:13">
      <c r="A43" s="7" t="s">
        <v>1065</v>
      </c>
      <c r="B43" s="7" t="str">
        <f t="shared" si="22"/>
        <v>ID7</v>
      </c>
      <c r="C43" s="7">
        <v>5</v>
      </c>
      <c r="D43" s="7">
        <v>0</v>
      </c>
      <c r="E43" s="7">
        <v>0</v>
      </c>
      <c r="F43" s="7">
        <f>F41</f>
        <v>50</v>
      </c>
      <c r="G43" s="7"/>
      <c r="H43" s="7">
        <v>2</v>
      </c>
      <c r="I43" s="7"/>
      <c r="J43" s="7">
        <v>107</v>
      </c>
      <c r="K43" s="7"/>
      <c r="L43" s="7">
        <v>9999</v>
      </c>
      <c r="M43" s="7">
        <v>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52"/>
  <sheetViews>
    <sheetView topLeftCell="A22" workbookViewId="0">
      <selection activeCell="G22" sqref="G1:G1048576"/>
    </sheetView>
  </sheetViews>
  <sheetFormatPr baseColWidth="10" defaultColWidth="9.125" defaultRowHeight="14.25"/>
  <cols>
    <col min="1" max="1" width="74.875" style="1" customWidth="1"/>
    <col min="2" max="2" width="9.125" style="1" bestFit="1" customWidth="1"/>
    <col min="3" max="3" width="4.75" style="1" bestFit="1" customWidth="1"/>
    <col min="4" max="4" width="5.125" style="1" bestFit="1" customWidth="1"/>
    <col min="5" max="5" width="5.125" style="1" customWidth="1"/>
    <col min="6" max="6" width="4.75" style="1" bestFit="1" customWidth="1"/>
    <col min="7" max="7" width="9.625" style="1" bestFit="1" customWidth="1"/>
    <col min="8" max="8" width="5.875" style="1" bestFit="1" customWidth="1"/>
    <col min="9" max="9" width="3.25" style="1" bestFit="1" customWidth="1"/>
    <col min="10" max="10" width="9.125" style="1"/>
    <col min="11" max="11" width="12.25" style="1" bestFit="1" customWidth="1"/>
    <col min="12" max="12" width="14.125" style="1" bestFit="1" customWidth="1"/>
    <col min="13" max="13" width="13" style="1" bestFit="1" customWidth="1"/>
    <col min="14" max="16384" width="9.125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63</v>
      </c>
      <c r="F1" s="1" t="s">
        <v>4</v>
      </c>
      <c r="H1" s="1" t="s">
        <v>5</v>
      </c>
      <c r="I1" s="1" t="s">
        <v>7</v>
      </c>
      <c r="J1" s="1" t="s">
        <v>8</v>
      </c>
      <c r="K1" s="1" t="s">
        <v>64</v>
      </c>
      <c r="L1" s="1" t="s">
        <v>65</v>
      </c>
      <c r="M1" s="1" t="s">
        <v>66</v>
      </c>
      <c r="O1" s="1" t="s">
        <v>973</v>
      </c>
      <c r="P1" s="1" t="s">
        <v>974</v>
      </c>
    </row>
    <row r="2" spans="1:16">
      <c r="A2" s="7" t="s">
        <v>1071</v>
      </c>
      <c r="B2" s="7" t="s">
        <v>854</v>
      </c>
      <c r="C2" s="7">
        <v>30</v>
      </c>
      <c r="D2" s="7">
        <v>0</v>
      </c>
      <c r="E2" s="7">
        <v>0</v>
      </c>
      <c r="F2" s="7">
        <v>75</v>
      </c>
      <c r="G2" s="7"/>
      <c r="H2" s="7">
        <v>1</v>
      </c>
      <c r="I2" s="7"/>
      <c r="J2" s="7">
        <v>107</v>
      </c>
      <c r="K2" s="7"/>
      <c r="L2" s="7">
        <v>9999</v>
      </c>
      <c r="M2" s="7">
        <v>9999</v>
      </c>
    </row>
    <row r="3" spans="1:16">
      <c r="A3" s="7" t="s">
        <v>1072</v>
      </c>
      <c r="B3" s="7" t="str">
        <f>B2</f>
        <v>ID1</v>
      </c>
      <c r="C3" s="7">
        <v>10</v>
      </c>
      <c r="D3" s="7">
        <v>1</v>
      </c>
      <c r="E3" s="7">
        <v>1</v>
      </c>
      <c r="F3" s="7">
        <f t="shared" ref="F3:F5" si="0">F2</f>
        <v>75</v>
      </c>
      <c r="G3" s="7"/>
      <c r="H3" s="7">
        <v>1</v>
      </c>
      <c r="I3" s="7"/>
      <c r="J3" s="7">
        <v>107</v>
      </c>
      <c r="K3" s="7"/>
      <c r="L3" s="7">
        <v>307</v>
      </c>
      <c r="M3" s="7">
        <f t="shared" ref="M3:M7" si="1">L3-J3</f>
        <v>200</v>
      </c>
    </row>
    <row r="4" spans="1:16">
      <c r="A4" s="7" t="s">
        <v>1073</v>
      </c>
      <c r="B4" s="7" t="str">
        <f t="shared" ref="B4:B7" si="2">B3</f>
        <v>ID1</v>
      </c>
      <c r="C4" s="7">
        <v>40</v>
      </c>
      <c r="D4" s="7">
        <v>1</v>
      </c>
      <c r="E4" s="7">
        <v>1</v>
      </c>
      <c r="F4" s="7">
        <f t="shared" si="0"/>
        <v>75</v>
      </c>
      <c r="G4" s="7"/>
      <c r="H4" s="7">
        <v>1</v>
      </c>
      <c r="I4" s="7"/>
      <c r="J4" s="7">
        <v>107</v>
      </c>
      <c r="K4" s="7"/>
      <c r="L4" s="7">
        <v>153</v>
      </c>
      <c r="M4" s="7">
        <f t="shared" si="1"/>
        <v>46</v>
      </c>
    </row>
    <row r="5" spans="1:16">
      <c r="A5" s="7" t="s">
        <v>1074</v>
      </c>
      <c r="B5" s="7" t="str">
        <f t="shared" si="2"/>
        <v>ID1</v>
      </c>
      <c r="C5" s="7">
        <v>5</v>
      </c>
      <c r="D5" s="7">
        <v>0</v>
      </c>
      <c r="E5" s="7">
        <v>0</v>
      </c>
      <c r="F5" s="7">
        <f t="shared" si="0"/>
        <v>75</v>
      </c>
      <c r="G5" s="7"/>
      <c r="H5" s="7">
        <v>1</v>
      </c>
      <c r="I5" s="7"/>
      <c r="J5" s="7">
        <v>107</v>
      </c>
      <c r="K5" s="7"/>
      <c r="L5" s="7">
        <v>9999</v>
      </c>
      <c r="M5" s="7">
        <v>9999</v>
      </c>
    </row>
    <row r="6" spans="1:16">
      <c r="A6" s="7" t="s">
        <v>1075</v>
      </c>
      <c r="B6" s="7" t="str">
        <f t="shared" si="2"/>
        <v>ID1</v>
      </c>
      <c r="C6" s="7">
        <v>20</v>
      </c>
      <c r="D6" s="7">
        <v>1</v>
      </c>
      <c r="E6" s="7">
        <v>1</v>
      </c>
      <c r="F6" s="7">
        <f>F4</f>
        <v>75</v>
      </c>
      <c r="G6" s="7"/>
      <c r="H6" s="7">
        <v>1</v>
      </c>
      <c r="I6" s="7"/>
      <c r="J6" s="7">
        <v>107</v>
      </c>
      <c r="K6" s="7"/>
      <c r="L6" s="7">
        <v>204</v>
      </c>
      <c r="M6" s="7">
        <f t="shared" ref="M6" si="3">L6-J6</f>
        <v>97</v>
      </c>
    </row>
    <row r="7" spans="1:16">
      <c r="A7" s="7" t="s">
        <v>1077</v>
      </c>
      <c r="B7" s="7" t="str">
        <f t="shared" si="2"/>
        <v>ID1</v>
      </c>
      <c r="C7" s="7">
        <v>30</v>
      </c>
      <c r="D7" s="7">
        <v>0</v>
      </c>
      <c r="E7" s="7">
        <v>1</v>
      </c>
      <c r="F7" s="7">
        <f>F5</f>
        <v>75</v>
      </c>
      <c r="G7" s="7"/>
      <c r="H7" s="7">
        <v>2</v>
      </c>
      <c r="I7" s="7"/>
      <c r="J7" s="7">
        <v>107</v>
      </c>
      <c r="K7" s="7"/>
      <c r="L7" s="7">
        <v>181</v>
      </c>
      <c r="M7" s="7">
        <f t="shared" si="1"/>
        <v>74</v>
      </c>
    </row>
    <row r="8" spans="1:16">
      <c r="A8" s="5" t="s">
        <v>1076</v>
      </c>
      <c r="B8" s="5" t="s">
        <v>862</v>
      </c>
      <c r="C8" s="5">
        <v>10</v>
      </c>
      <c r="D8" s="5">
        <v>0</v>
      </c>
      <c r="E8" s="5">
        <v>0</v>
      </c>
      <c r="F8" s="5">
        <v>50</v>
      </c>
      <c r="G8" s="5"/>
      <c r="H8" s="5">
        <v>1</v>
      </c>
      <c r="I8" s="5"/>
      <c r="J8" s="5">
        <v>107</v>
      </c>
      <c r="K8" s="5"/>
      <c r="L8" s="5">
        <v>9999</v>
      </c>
      <c r="M8" s="5">
        <v>9999</v>
      </c>
    </row>
    <row r="9" spans="1:16">
      <c r="A9" s="5" t="s">
        <v>1078</v>
      </c>
      <c r="B9" s="5" t="str">
        <f>B8</f>
        <v>ID2</v>
      </c>
      <c r="C9" s="5">
        <v>20</v>
      </c>
      <c r="D9" s="5">
        <v>0</v>
      </c>
      <c r="E9" s="5">
        <v>0</v>
      </c>
      <c r="F9" s="5">
        <f>F8</f>
        <v>50</v>
      </c>
      <c r="G9" s="5"/>
      <c r="H9" s="5">
        <v>1</v>
      </c>
      <c r="I9" s="5"/>
      <c r="J9" s="5">
        <v>107</v>
      </c>
      <c r="K9" s="5"/>
      <c r="L9" s="5">
        <v>9999</v>
      </c>
      <c r="M9" s="5">
        <v>9999</v>
      </c>
    </row>
    <row r="10" spans="1:16">
      <c r="A10" s="5" t="s">
        <v>1079</v>
      </c>
      <c r="B10" s="5" t="str">
        <f t="shared" ref="B10:B13" si="4">B9</f>
        <v>ID2</v>
      </c>
      <c r="C10" s="5">
        <v>40</v>
      </c>
      <c r="D10" s="5">
        <v>0</v>
      </c>
      <c r="E10" s="5">
        <v>0</v>
      </c>
      <c r="F10" s="5">
        <f t="shared" ref="F10:F13" si="5">F9</f>
        <v>50</v>
      </c>
      <c r="G10" s="5"/>
      <c r="H10" s="5">
        <v>1</v>
      </c>
      <c r="I10" s="5"/>
      <c r="J10" s="5">
        <v>107</v>
      </c>
      <c r="K10" s="5"/>
      <c r="L10" s="5">
        <v>9999</v>
      </c>
      <c r="M10" s="5">
        <v>9999</v>
      </c>
    </row>
    <row r="11" spans="1:16">
      <c r="A11" s="5" t="s">
        <v>1081</v>
      </c>
      <c r="B11" s="5" t="str">
        <f t="shared" si="4"/>
        <v>ID2</v>
      </c>
      <c r="C11" s="5">
        <v>5</v>
      </c>
      <c r="D11" s="5">
        <v>0</v>
      </c>
      <c r="E11" s="5">
        <v>0</v>
      </c>
      <c r="F11" s="5">
        <f t="shared" si="5"/>
        <v>50</v>
      </c>
      <c r="G11" s="5"/>
      <c r="H11" s="5">
        <v>1</v>
      </c>
      <c r="I11" s="5"/>
      <c r="J11" s="5">
        <v>107</v>
      </c>
      <c r="K11" s="5"/>
      <c r="L11" s="5">
        <v>9999</v>
      </c>
      <c r="M11" s="5">
        <v>9999</v>
      </c>
    </row>
    <row r="12" spans="1:16">
      <c r="A12" s="5" t="s">
        <v>1080</v>
      </c>
      <c r="B12" s="5" t="str">
        <f t="shared" si="4"/>
        <v>ID2</v>
      </c>
      <c r="C12" s="5">
        <v>30</v>
      </c>
      <c r="D12" s="5">
        <v>0</v>
      </c>
      <c r="E12" s="5">
        <v>0</v>
      </c>
      <c r="F12" s="5">
        <f t="shared" si="5"/>
        <v>50</v>
      </c>
      <c r="G12" s="5"/>
      <c r="H12" s="5">
        <v>1</v>
      </c>
      <c r="I12" s="5"/>
      <c r="J12" s="5">
        <v>107</v>
      </c>
      <c r="K12" s="5"/>
      <c r="L12" s="5">
        <v>9999</v>
      </c>
      <c r="M12" s="5">
        <v>9999</v>
      </c>
    </row>
    <row r="13" spans="1:16">
      <c r="A13" s="5" t="s">
        <v>1083</v>
      </c>
      <c r="B13" s="5" t="str">
        <f t="shared" si="4"/>
        <v>ID2</v>
      </c>
      <c r="C13" s="5">
        <v>10</v>
      </c>
      <c r="D13" s="5">
        <v>0</v>
      </c>
      <c r="E13" s="5">
        <v>0</v>
      </c>
      <c r="F13" s="5">
        <f t="shared" si="5"/>
        <v>50</v>
      </c>
      <c r="G13" s="5"/>
      <c r="H13" s="5">
        <v>2</v>
      </c>
      <c r="I13" s="5"/>
      <c r="J13" s="5">
        <v>107</v>
      </c>
      <c r="K13" s="5"/>
      <c r="L13" s="5">
        <v>9999</v>
      </c>
      <c r="M13" s="5">
        <v>9999</v>
      </c>
    </row>
    <row r="14" spans="1:16">
      <c r="A14" s="7" t="s">
        <v>1082</v>
      </c>
      <c r="B14" s="7" t="s">
        <v>870</v>
      </c>
      <c r="C14" s="7">
        <v>30</v>
      </c>
      <c r="D14" s="7">
        <v>1</v>
      </c>
      <c r="E14" s="7">
        <v>1</v>
      </c>
      <c r="F14" s="7">
        <v>150</v>
      </c>
      <c r="G14" s="7"/>
      <c r="H14" s="7">
        <v>1</v>
      </c>
      <c r="I14" s="7"/>
      <c r="J14" s="7">
        <v>107</v>
      </c>
      <c r="K14" s="7"/>
      <c r="L14" s="7">
        <v>164</v>
      </c>
      <c r="M14" s="7">
        <f t="shared" ref="M14:M16" si="6">L14-J14</f>
        <v>57</v>
      </c>
    </row>
    <row r="15" spans="1:16">
      <c r="A15" s="7" t="s">
        <v>1084</v>
      </c>
      <c r="B15" s="7" t="str">
        <f>B14</f>
        <v>ID3</v>
      </c>
      <c r="C15" s="7">
        <v>10</v>
      </c>
      <c r="D15" s="7">
        <v>1</v>
      </c>
      <c r="E15" s="7">
        <v>1</v>
      </c>
      <c r="F15" s="7">
        <f t="shared" ref="F15:F17" si="7">F14</f>
        <v>150</v>
      </c>
      <c r="G15" s="7"/>
      <c r="H15" s="7">
        <v>1</v>
      </c>
      <c r="I15" s="7"/>
      <c r="J15" s="7">
        <v>107</v>
      </c>
      <c r="K15" s="7"/>
      <c r="L15" s="7">
        <v>247</v>
      </c>
      <c r="M15" s="7">
        <f t="shared" si="6"/>
        <v>140</v>
      </c>
    </row>
    <row r="16" spans="1:16">
      <c r="A16" s="7" t="s">
        <v>1085</v>
      </c>
      <c r="B16" s="7" t="str">
        <f t="shared" ref="B16:B19" si="8">B15</f>
        <v>ID3</v>
      </c>
      <c r="C16" s="7">
        <v>40</v>
      </c>
      <c r="D16" s="7">
        <v>1</v>
      </c>
      <c r="E16" s="7">
        <v>1</v>
      </c>
      <c r="F16" s="7">
        <f t="shared" si="7"/>
        <v>150</v>
      </c>
      <c r="G16" s="7"/>
      <c r="H16" s="7">
        <v>1</v>
      </c>
      <c r="I16" s="7"/>
      <c r="J16" s="7">
        <v>107</v>
      </c>
      <c r="K16" s="7"/>
      <c r="L16" s="7">
        <v>141</v>
      </c>
      <c r="M16" s="7">
        <f t="shared" si="6"/>
        <v>34</v>
      </c>
    </row>
    <row r="17" spans="1:13">
      <c r="A17" s="7" t="s">
        <v>1086</v>
      </c>
      <c r="B17" s="7" t="str">
        <f t="shared" si="8"/>
        <v>ID3</v>
      </c>
      <c r="C17" s="7">
        <v>5</v>
      </c>
      <c r="D17" s="7">
        <v>1</v>
      </c>
      <c r="E17" s="7">
        <v>1</v>
      </c>
      <c r="F17" s="7">
        <f t="shared" si="7"/>
        <v>150</v>
      </c>
      <c r="G17" s="7"/>
      <c r="H17" s="7">
        <v>1</v>
      </c>
      <c r="I17" s="7"/>
      <c r="J17" s="7">
        <v>107</v>
      </c>
      <c r="K17" s="7"/>
      <c r="L17" s="7">
        <v>490</v>
      </c>
      <c r="M17" s="7">
        <f>L17-J17</f>
        <v>383</v>
      </c>
    </row>
    <row r="18" spans="1:13">
      <c r="A18" s="7" t="s">
        <v>1087</v>
      </c>
      <c r="B18" s="7" t="str">
        <f t="shared" si="8"/>
        <v>ID3</v>
      </c>
      <c r="C18" s="7">
        <v>20</v>
      </c>
      <c r="D18" s="7">
        <v>1</v>
      </c>
      <c r="E18" s="7">
        <v>1</v>
      </c>
      <c r="F18" s="7">
        <f>F16</f>
        <v>150</v>
      </c>
      <c r="G18" s="7"/>
      <c r="H18" s="7">
        <v>1</v>
      </c>
      <c r="I18" s="7"/>
      <c r="J18" s="7">
        <v>107</v>
      </c>
      <c r="K18" s="7"/>
      <c r="L18" s="7">
        <v>190</v>
      </c>
      <c r="M18" s="7">
        <f t="shared" ref="M18:M19" si="9">L18-J18</f>
        <v>83</v>
      </c>
    </row>
    <row r="19" spans="1:13">
      <c r="A19" s="7" t="s">
        <v>1088</v>
      </c>
      <c r="B19" s="7" t="str">
        <f t="shared" si="8"/>
        <v>ID3</v>
      </c>
      <c r="C19" s="7">
        <v>30</v>
      </c>
      <c r="D19" s="7">
        <v>1</v>
      </c>
      <c r="E19" s="7">
        <v>1</v>
      </c>
      <c r="F19" s="7">
        <f>F17</f>
        <v>150</v>
      </c>
      <c r="G19" s="7"/>
      <c r="H19" s="7">
        <v>2</v>
      </c>
      <c r="I19" s="7"/>
      <c r="J19" s="7">
        <v>107</v>
      </c>
      <c r="K19" s="7"/>
      <c r="L19" s="7">
        <v>165</v>
      </c>
      <c r="M19" s="7">
        <f t="shared" si="9"/>
        <v>58</v>
      </c>
    </row>
    <row r="20" spans="1:13">
      <c r="A20" s="5" t="s">
        <v>1089</v>
      </c>
      <c r="B20" s="5" t="s">
        <v>982</v>
      </c>
      <c r="C20" s="5">
        <v>40</v>
      </c>
      <c r="D20" s="5">
        <v>0</v>
      </c>
      <c r="E20" s="5">
        <v>0</v>
      </c>
      <c r="F20" s="5">
        <v>150</v>
      </c>
      <c r="G20" s="5"/>
      <c r="H20" s="5">
        <v>0</v>
      </c>
      <c r="I20" s="5"/>
      <c r="J20" s="5">
        <v>258</v>
      </c>
      <c r="K20" s="5"/>
      <c r="L20" s="5">
        <v>9999</v>
      </c>
      <c r="M20" s="5">
        <v>9999</v>
      </c>
    </row>
    <row r="21" spans="1:13">
      <c r="A21" s="5" t="s">
        <v>1090</v>
      </c>
      <c r="B21" s="5" t="str">
        <f>B20</f>
        <v>ID4</v>
      </c>
      <c r="C21" s="5">
        <v>40</v>
      </c>
      <c r="D21" s="5">
        <v>1</v>
      </c>
      <c r="E21" s="5">
        <v>1</v>
      </c>
      <c r="F21" s="5">
        <f>F20</f>
        <v>150</v>
      </c>
      <c r="G21" s="5"/>
      <c r="H21" s="5">
        <v>0</v>
      </c>
      <c r="I21" s="5"/>
      <c r="J21" s="5">
        <v>107</v>
      </c>
      <c r="K21" s="5"/>
      <c r="L21" s="5">
        <v>144</v>
      </c>
      <c r="M21" s="5">
        <f t="shared" ref="M21:M28" si="10">L21-J21</f>
        <v>37</v>
      </c>
    </row>
    <row r="22" spans="1:13">
      <c r="A22" s="5" t="s">
        <v>1091</v>
      </c>
      <c r="B22" s="5" t="str">
        <f t="shared" ref="B22:B28" si="11">B21</f>
        <v>ID4</v>
      </c>
      <c r="C22" s="5">
        <v>40</v>
      </c>
      <c r="D22" s="5">
        <v>0</v>
      </c>
      <c r="E22" s="5">
        <v>0</v>
      </c>
      <c r="F22" s="5">
        <f t="shared" ref="F22:F28" si="12">F21</f>
        <v>150</v>
      </c>
      <c r="G22" s="5"/>
      <c r="H22" s="5">
        <v>0</v>
      </c>
      <c r="I22" s="5"/>
      <c r="J22" s="5">
        <v>258</v>
      </c>
      <c r="K22" s="5"/>
      <c r="L22" s="5">
        <v>9999</v>
      </c>
      <c r="M22" s="5">
        <v>9999</v>
      </c>
    </row>
    <row r="23" spans="1:13">
      <c r="A23" s="5" t="s">
        <v>1092</v>
      </c>
      <c r="B23" s="5" t="str">
        <f t="shared" si="11"/>
        <v>ID4</v>
      </c>
      <c r="C23" s="5">
        <v>40</v>
      </c>
      <c r="D23" s="5">
        <v>1</v>
      </c>
      <c r="E23" s="5">
        <v>1</v>
      </c>
      <c r="F23" s="5">
        <f t="shared" si="12"/>
        <v>150</v>
      </c>
      <c r="G23" s="5"/>
      <c r="H23" s="5">
        <v>0</v>
      </c>
      <c r="I23" s="5"/>
      <c r="J23" s="5">
        <v>258</v>
      </c>
      <c r="K23" s="5"/>
      <c r="L23" s="5">
        <v>288</v>
      </c>
      <c r="M23" s="5">
        <f t="shared" si="10"/>
        <v>30</v>
      </c>
    </row>
    <row r="24" spans="1:13">
      <c r="A24" s="5" t="s">
        <v>1093</v>
      </c>
      <c r="B24" s="5" t="str">
        <f t="shared" si="11"/>
        <v>ID4</v>
      </c>
      <c r="C24" s="5">
        <v>10</v>
      </c>
      <c r="D24" s="5">
        <v>0</v>
      </c>
      <c r="E24" s="5">
        <v>0</v>
      </c>
      <c r="F24" s="5">
        <f t="shared" si="12"/>
        <v>150</v>
      </c>
      <c r="G24" s="5"/>
      <c r="H24" s="5">
        <v>0</v>
      </c>
      <c r="I24" s="5"/>
      <c r="J24" s="5">
        <v>258</v>
      </c>
      <c r="K24" s="5"/>
      <c r="L24" s="5">
        <v>9999</v>
      </c>
      <c r="M24" s="5">
        <v>9999</v>
      </c>
    </row>
    <row r="25" spans="1:13">
      <c r="A25" s="5" t="s">
        <v>1094</v>
      </c>
      <c r="B25" s="5" t="str">
        <f t="shared" si="11"/>
        <v>ID4</v>
      </c>
      <c r="C25" s="5">
        <v>10</v>
      </c>
      <c r="D25" s="5">
        <v>1</v>
      </c>
      <c r="E25" s="5">
        <v>1</v>
      </c>
      <c r="F25" s="5">
        <f t="shared" si="12"/>
        <v>150</v>
      </c>
      <c r="G25" s="5"/>
      <c r="H25" s="5">
        <v>0</v>
      </c>
      <c r="I25" s="5"/>
      <c r="J25" s="5">
        <v>107</v>
      </c>
      <c r="K25" s="5"/>
      <c r="L25" s="5">
        <v>302</v>
      </c>
      <c r="M25" s="5">
        <f t="shared" si="10"/>
        <v>195</v>
      </c>
    </row>
    <row r="26" spans="1:13">
      <c r="A26" s="5" t="s">
        <v>1095</v>
      </c>
      <c r="B26" s="5" t="str">
        <f t="shared" si="11"/>
        <v>ID4</v>
      </c>
      <c r="C26" s="5">
        <v>10</v>
      </c>
      <c r="D26" s="5">
        <v>0</v>
      </c>
      <c r="E26" s="5">
        <v>0</v>
      </c>
      <c r="F26" s="5">
        <f t="shared" si="12"/>
        <v>150</v>
      </c>
      <c r="G26" s="5"/>
      <c r="H26" s="5">
        <v>0</v>
      </c>
      <c r="I26" s="5"/>
      <c r="J26" s="5">
        <v>258</v>
      </c>
      <c r="K26" s="5"/>
      <c r="L26" s="5">
        <v>9999</v>
      </c>
      <c r="M26" s="5">
        <v>9999</v>
      </c>
    </row>
    <row r="27" spans="1:13">
      <c r="A27" s="5" t="s">
        <v>1098</v>
      </c>
      <c r="B27" s="5" t="str">
        <f t="shared" si="11"/>
        <v>ID4</v>
      </c>
      <c r="C27" s="5">
        <v>10</v>
      </c>
      <c r="D27" s="5">
        <v>0</v>
      </c>
      <c r="E27" s="5">
        <v>0</v>
      </c>
      <c r="F27" s="5">
        <f t="shared" si="12"/>
        <v>150</v>
      </c>
      <c r="G27" s="5"/>
      <c r="H27" s="5">
        <v>0</v>
      </c>
      <c r="I27" s="5"/>
      <c r="J27" s="5">
        <v>258</v>
      </c>
      <c r="K27" s="5"/>
      <c r="L27" s="5">
        <v>9999</v>
      </c>
      <c r="M27" s="5">
        <f t="shared" si="10"/>
        <v>9741</v>
      </c>
    </row>
    <row r="28" spans="1:13">
      <c r="A28" s="5" t="s">
        <v>1097</v>
      </c>
      <c r="B28" s="5" t="str">
        <f t="shared" si="11"/>
        <v>ID4</v>
      </c>
      <c r="C28" s="5">
        <v>40</v>
      </c>
      <c r="D28" s="5">
        <v>1</v>
      </c>
      <c r="E28" s="5">
        <v>1</v>
      </c>
      <c r="F28" s="5">
        <f t="shared" si="12"/>
        <v>150</v>
      </c>
      <c r="G28" s="5"/>
      <c r="H28" s="5">
        <v>0</v>
      </c>
      <c r="I28" s="5"/>
      <c r="J28" s="5">
        <v>107</v>
      </c>
      <c r="K28" s="5"/>
      <c r="L28" s="5">
        <v>139</v>
      </c>
      <c r="M28" s="5">
        <f t="shared" si="10"/>
        <v>32</v>
      </c>
    </row>
    <row r="29" spans="1:13">
      <c r="A29" s="7" t="s">
        <v>1096</v>
      </c>
      <c r="B29" s="7" t="s">
        <v>1050</v>
      </c>
      <c r="C29" s="7">
        <v>20</v>
      </c>
      <c r="D29" s="7">
        <v>0</v>
      </c>
      <c r="E29" s="7">
        <v>0</v>
      </c>
      <c r="F29" s="7">
        <v>50</v>
      </c>
      <c r="G29" s="7"/>
      <c r="H29" s="7">
        <v>1</v>
      </c>
      <c r="I29" s="7"/>
      <c r="J29" s="7">
        <v>107</v>
      </c>
      <c r="K29" s="7"/>
      <c r="L29" s="7">
        <v>9999</v>
      </c>
      <c r="M29" s="7">
        <v>9999</v>
      </c>
    </row>
    <row r="30" spans="1:13">
      <c r="A30" s="7" t="s">
        <v>1104</v>
      </c>
      <c r="B30" s="7" t="str">
        <f>B29</f>
        <v>ID5</v>
      </c>
      <c r="C30" s="7">
        <v>10</v>
      </c>
      <c r="D30" s="7">
        <v>0</v>
      </c>
      <c r="E30" s="7">
        <v>0</v>
      </c>
      <c r="F30" s="7">
        <f t="shared" ref="F30:F32" si="13">F29</f>
        <v>50</v>
      </c>
      <c r="G30" s="7"/>
      <c r="H30" s="7">
        <v>1</v>
      </c>
      <c r="I30" s="7"/>
      <c r="J30" s="7">
        <v>107</v>
      </c>
      <c r="K30" s="7"/>
      <c r="L30" s="7">
        <v>9999</v>
      </c>
      <c r="M30" s="7">
        <v>9999</v>
      </c>
    </row>
    <row r="31" spans="1:13">
      <c r="A31" s="7" t="s">
        <v>1102</v>
      </c>
      <c r="B31" s="7" t="str">
        <f t="shared" ref="B31:B34" si="14">B30</f>
        <v>ID5</v>
      </c>
      <c r="C31" s="7">
        <v>5</v>
      </c>
      <c r="D31" s="7">
        <v>0</v>
      </c>
      <c r="E31" s="7">
        <v>0</v>
      </c>
      <c r="F31" s="7">
        <f t="shared" si="13"/>
        <v>50</v>
      </c>
      <c r="G31" s="7"/>
      <c r="H31" s="7">
        <v>1</v>
      </c>
      <c r="I31" s="7"/>
      <c r="J31" s="7">
        <v>107</v>
      </c>
      <c r="K31" s="7"/>
      <c r="L31" s="7">
        <v>9999</v>
      </c>
      <c r="M31" s="7">
        <v>9999</v>
      </c>
    </row>
    <row r="32" spans="1:13">
      <c r="A32" s="7" t="s">
        <v>1099</v>
      </c>
      <c r="B32" s="7" t="str">
        <f t="shared" si="14"/>
        <v>ID5</v>
      </c>
      <c r="C32" s="7">
        <v>40</v>
      </c>
      <c r="D32" s="7">
        <v>0</v>
      </c>
      <c r="E32" s="7">
        <v>1</v>
      </c>
      <c r="F32" s="7">
        <f t="shared" si="13"/>
        <v>50</v>
      </c>
      <c r="G32" s="7"/>
      <c r="H32" s="7">
        <v>1</v>
      </c>
      <c r="I32" s="7"/>
      <c r="J32" s="7">
        <v>107</v>
      </c>
      <c r="K32" s="7"/>
      <c r="L32" s="7">
        <v>200</v>
      </c>
      <c r="M32" s="7">
        <f t="shared" ref="M32" si="15">L32-J32</f>
        <v>93</v>
      </c>
    </row>
    <row r="33" spans="1:13">
      <c r="A33" s="7" t="s">
        <v>1100</v>
      </c>
      <c r="B33" s="7" t="str">
        <f t="shared" si="14"/>
        <v>ID5</v>
      </c>
      <c r="C33" s="7">
        <v>30</v>
      </c>
      <c r="D33" s="7">
        <v>0</v>
      </c>
      <c r="E33" s="7">
        <v>1</v>
      </c>
      <c r="F33" s="7">
        <f>F31</f>
        <v>50</v>
      </c>
      <c r="G33" s="7"/>
      <c r="H33" s="7">
        <v>1</v>
      </c>
      <c r="I33" s="7"/>
      <c r="J33" s="7">
        <v>107</v>
      </c>
      <c r="K33" s="7"/>
      <c r="L33" s="7">
        <v>294</v>
      </c>
      <c r="M33" s="7">
        <f t="shared" ref="M33:M34" si="16">L33-J33</f>
        <v>187</v>
      </c>
    </row>
    <row r="34" spans="1:13">
      <c r="A34" s="7" t="s">
        <v>1103</v>
      </c>
      <c r="B34" s="7" t="str">
        <f t="shared" si="14"/>
        <v>ID5</v>
      </c>
      <c r="C34" s="7">
        <v>20</v>
      </c>
      <c r="D34" s="7">
        <v>0</v>
      </c>
      <c r="E34" s="7">
        <v>0</v>
      </c>
      <c r="F34" s="7">
        <f>F32</f>
        <v>50</v>
      </c>
      <c r="G34" s="7"/>
      <c r="H34" s="7">
        <v>2</v>
      </c>
      <c r="I34" s="7"/>
      <c r="J34" s="7">
        <v>107</v>
      </c>
      <c r="K34" s="7"/>
      <c r="L34" s="7">
        <v>9999</v>
      </c>
      <c r="M34" s="7">
        <f t="shared" si="16"/>
        <v>9892</v>
      </c>
    </row>
    <row r="35" spans="1:13">
      <c r="A35" s="5" t="s">
        <v>1101</v>
      </c>
      <c r="B35" s="5" t="s">
        <v>1057</v>
      </c>
      <c r="C35" s="5">
        <v>40</v>
      </c>
      <c r="D35" s="5">
        <v>1</v>
      </c>
      <c r="E35" s="5">
        <v>1</v>
      </c>
      <c r="F35" s="5">
        <v>50</v>
      </c>
      <c r="G35" s="5"/>
      <c r="H35" s="5">
        <v>1</v>
      </c>
      <c r="I35" s="5"/>
      <c r="J35" s="5">
        <v>107</v>
      </c>
      <c r="K35" s="5"/>
      <c r="L35" s="5">
        <v>156</v>
      </c>
      <c r="M35" s="5">
        <f>L35-J35</f>
        <v>49</v>
      </c>
    </row>
    <row r="36" spans="1:13">
      <c r="A36" s="5" t="s">
        <v>1105</v>
      </c>
      <c r="B36" s="5" t="str">
        <f>B35</f>
        <v>ID6</v>
      </c>
      <c r="C36" s="5">
        <v>5</v>
      </c>
      <c r="D36" s="5">
        <v>0</v>
      </c>
      <c r="E36" s="5">
        <v>0</v>
      </c>
      <c r="F36" s="5">
        <f>F35</f>
        <v>50</v>
      </c>
      <c r="G36" s="5"/>
      <c r="H36" s="5">
        <v>1</v>
      </c>
      <c r="I36" s="5"/>
      <c r="J36" s="5">
        <v>107</v>
      </c>
      <c r="K36" s="5"/>
      <c r="L36" s="5">
        <v>9999</v>
      </c>
      <c r="M36" s="5">
        <f t="shared" ref="M36:M38" si="17">L36-J36</f>
        <v>9892</v>
      </c>
    </row>
    <row r="37" spans="1:13">
      <c r="A37" s="5" t="s">
        <v>1112</v>
      </c>
      <c r="B37" s="5" t="str">
        <f t="shared" ref="B37:B40" si="18">B36</f>
        <v>ID6</v>
      </c>
      <c r="C37" s="5">
        <v>10</v>
      </c>
      <c r="D37" s="5">
        <v>0</v>
      </c>
      <c r="E37" s="5">
        <v>0</v>
      </c>
      <c r="F37" s="5">
        <f t="shared" ref="F37:F40" si="19">F36</f>
        <v>50</v>
      </c>
      <c r="G37" s="5"/>
      <c r="H37" s="5">
        <v>1</v>
      </c>
      <c r="I37" s="5"/>
      <c r="J37" s="5">
        <v>107</v>
      </c>
      <c r="K37" s="5"/>
      <c r="L37" s="5">
        <v>9999</v>
      </c>
      <c r="M37" s="5">
        <f t="shared" si="17"/>
        <v>9892</v>
      </c>
    </row>
    <row r="38" spans="1:13">
      <c r="A38" s="5" t="s">
        <v>1108</v>
      </c>
      <c r="B38" s="5" t="str">
        <f t="shared" si="18"/>
        <v>ID6</v>
      </c>
      <c r="C38" s="5">
        <v>20</v>
      </c>
      <c r="D38" s="5">
        <v>0</v>
      </c>
      <c r="E38" s="5">
        <v>1</v>
      </c>
      <c r="F38" s="5">
        <f t="shared" si="19"/>
        <v>50</v>
      </c>
      <c r="G38" s="5"/>
      <c r="H38" s="5">
        <v>1</v>
      </c>
      <c r="I38" s="5"/>
      <c r="J38" s="5">
        <v>107</v>
      </c>
      <c r="K38" s="5"/>
      <c r="L38" s="5">
        <v>211</v>
      </c>
      <c r="M38" s="5">
        <f t="shared" si="17"/>
        <v>104</v>
      </c>
    </row>
    <row r="39" spans="1:13">
      <c r="A39" s="5" t="s">
        <v>1107</v>
      </c>
      <c r="B39" s="5" t="str">
        <f t="shared" si="18"/>
        <v>ID6</v>
      </c>
      <c r="C39" s="5">
        <v>30</v>
      </c>
      <c r="D39" s="5">
        <v>1</v>
      </c>
      <c r="E39" s="5">
        <v>1</v>
      </c>
      <c r="F39" s="5">
        <f t="shared" si="19"/>
        <v>50</v>
      </c>
      <c r="G39" s="5"/>
      <c r="H39" s="5">
        <v>1</v>
      </c>
      <c r="I39" s="5"/>
      <c r="J39" s="5">
        <v>107</v>
      </c>
      <c r="K39" s="5"/>
      <c r="L39" s="5">
        <v>174</v>
      </c>
      <c r="M39" s="5">
        <f>L39-J39</f>
        <v>67</v>
      </c>
    </row>
    <row r="40" spans="1:13">
      <c r="A40" s="5" t="s">
        <v>1106</v>
      </c>
      <c r="B40" s="5" t="str">
        <f t="shared" si="18"/>
        <v>ID6</v>
      </c>
      <c r="C40" s="5">
        <v>40</v>
      </c>
      <c r="D40" s="5">
        <v>1</v>
      </c>
      <c r="E40" s="5">
        <v>1</v>
      </c>
      <c r="F40" s="5">
        <f t="shared" si="19"/>
        <v>50</v>
      </c>
      <c r="G40" s="5"/>
      <c r="H40" s="5">
        <v>2</v>
      </c>
      <c r="I40" s="5"/>
      <c r="J40" s="5">
        <v>107</v>
      </c>
      <c r="K40" s="5"/>
      <c r="L40" s="5">
        <v>152</v>
      </c>
      <c r="M40" s="5">
        <f t="shared" ref="M40:M43" si="20">L40-J40</f>
        <v>45</v>
      </c>
    </row>
    <row r="41" spans="1:13">
      <c r="A41" s="7" t="s">
        <v>1109</v>
      </c>
      <c r="B41" s="7" t="s">
        <v>1060</v>
      </c>
      <c r="C41" s="7">
        <v>20</v>
      </c>
      <c r="D41" s="7">
        <v>1</v>
      </c>
      <c r="E41" s="7">
        <v>1</v>
      </c>
      <c r="F41" s="7">
        <v>150</v>
      </c>
      <c r="G41" s="7"/>
      <c r="H41" s="7">
        <v>1</v>
      </c>
      <c r="I41" s="7"/>
      <c r="J41" s="7">
        <v>107</v>
      </c>
      <c r="K41" s="7"/>
      <c r="L41" s="7">
        <v>197</v>
      </c>
      <c r="M41" s="7">
        <f t="shared" si="20"/>
        <v>90</v>
      </c>
    </row>
    <row r="42" spans="1:13">
      <c r="A42" s="7" t="s">
        <v>1110</v>
      </c>
      <c r="B42" s="7" t="str">
        <f>B41</f>
        <v>ID7</v>
      </c>
      <c r="C42" s="7">
        <v>5</v>
      </c>
      <c r="D42" s="7">
        <v>1</v>
      </c>
      <c r="E42" s="7">
        <v>1</v>
      </c>
      <c r="F42" s="7">
        <f t="shared" ref="F42:F44" si="21">F41</f>
        <v>150</v>
      </c>
      <c r="G42" s="7"/>
      <c r="H42" s="7">
        <v>1</v>
      </c>
      <c r="I42" s="7"/>
      <c r="J42" s="7">
        <v>107</v>
      </c>
      <c r="K42" s="7"/>
      <c r="L42" s="7">
        <v>489</v>
      </c>
      <c r="M42" s="7">
        <f t="shared" si="20"/>
        <v>382</v>
      </c>
    </row>
    <row r="43" spans="1:13">
      <c r="A43" s="7" t="s">
        <v>1111</v>
      </c>
      <c r="B43" s="7" t="str">
        <f t="shared" ref="B43:B46" si="22">B42</f>
        <v>ID7</v>
      </c>
      <c r="C43" s="7">
        <v>30</v>
      </c>
      <c r="D43" s="7">
        <v>1</v>
      </c>
      <c r="E43" s="7">
        <v>1</v>
      </c>
      <c r="F43" s="7">
        <f t="shared" si="21"/>
        <v>150</v>
      </c>
      <c r="G43" s="7"/>
      <c r="H43" s="7">
        <v>1</v>
      </c>
      <c r="I43" s="7"/>
      <c r="J43" s="7">
        <v>107</v>
      </c>
      <c r="K43" s="7"/>
      <c r="L43" s="7">
        <v>159</v>
      </c>
      <c r="M43" s="7">
        <f t="shared" si="20"/>
        <v>52</v>
      </c>
    </row>
    <row r="44" spans="1:13">
      <c r="A44" s="7" t="s">
        <v>1113</v>
      </c>
      <c r="B44" s="7" t="str">
        <f t="shared" si="22"/>
        <v>ID7</v>
      </c>
      <c r="C44" s="7">
        <v>40</v>
      </c>
      <c r="D44" s="7">
        <v>0</v>
      </c>
      <c r="E44" s="7">
        <v>1</v>
      </c>
      <c r="F44" s="7">
        <f t="shared" si="21"/>
        <v>150</v>
      </c>
      <c r="G44" s="7"/>
      <c r="H44" s="7">
        <v>1</v>
      </c>
      <c r="I44" s="7"/>
      <c r="J44" s="7">
        <v>107</v>
      </c>
      <c r="K44" s="7"/>
      <c r="L44" s="7">
        <v>160</v>
      </c>
      <c r="M44" s="7">
        <f>L44-J44</f>
        <v>53</v>
      </c>
    </row>
    <row r="45" spans="1:13">
      <c r="A45" s="7" t="s">
        <v>1116</v>
      </c>
      <c r="B45" s="7" t="str">
        <f t="shared" si="22"/>
        <v>ID7</v>
      </c>
      <c r="C45" s="7">
        <v>10</v>
      </c>
      <c r="D45" s="7">
        <v>0</v>
      </c>
      <c r="E45" s="7">
        <v>1</v>
      </c>
      <c r="F45" s="7">
        <f>F43</f>
        <v>150</v>
      </c>
      <c r="G45" s="7"/>
      <c r="H45" s="7">
        <v>1</v>
      </c>
      <c r="I45" s="7"/>
      <c r="J45" s="7">
        <v>107</v>
      </c>
      <c r="K45" s="7"/>
      <c r="L45" s="7">
        <v>310</v>
      </c>
      <c r="M45" s="7">
        <f t="shared" ref="M45:M46" si="23">L45-J45</f>
        <v>203</v>
      </c>
    </row>
    <row r="46" spans="1:13">
      <c r="A46" s="7" t="s">
        <v>1115</v>
      </c>
      <c r="B46" s="7" t="str">
        <f t="shared" si="22"/>
        <v>ID7</v>
      </c>
      <c r="C46" s="7">
        <v>20</v>
      </c>
      <c r="D46" s="7">
        <v>0</v>
      </c>
      <c r="E46" s="7">
        <v>0</v>
      </c>
      <c r="F46" s="7">
        <f>F44</f>
        <v>150</v>
      </c>
      <c r="G46" s="7"/>
      <c r="H46" s="7">
        <v>2</v>
      </c>
      <c r="I46" s="7"/>
      <c r="J46" s="7">
        <v>107</v>
      </c>
      <c r="K46" s="7"/>
      <c r="L46" s="7">
        <v>200</v>
      </c>
      <c r="M46" s="7">
        <f t="shared" si="23"/>
        <v>93</v>
      </c>
    </row>
    <row r="47" spans="1:13">
      <c r="A47" s="5" t="s">
        <v>1118</v>
      </c>
      <c r="B47" s="5" t="s">
        <v>1114</v>
      </c>
      <c r="C47" s="5">
        <v>20</v>
      </c>
      <c r="D47" s="5">
        <v>1</v>
      </c>
      <c r="E47" s="5">
        <v>1</v>
      </c>
      <c r="F47" s="5">
        <v>75</v>
      </c>
      <c r="G47" s="5"/>
      <c r="H47" s="5">
        <v>1</v>
      </c>
      <c r="I47" s="5"/>
      <c r="J47" s="5">
        <v>107</v>
      </c>
      <c r="K47" s="5"/>
      <c r="L47" s="5">
        <v>198</v>
      </c>
      <c r="M47" s="5">
        <f>L47-J47</f>
        <v>91</v>
      </c>
    </row>
    <row r="48" spans="1:13">
      <c r="A48" s="5" t="s">
        <v>1117</v>
      </c>
      <c r="B48" s="5" t="str">
        <f>B47</f>
        <v>ID8</v>
      </c>
      <c r="C48" s="5">
        <v>5</v>
      </c>
      <c r="D48" s="5">
        <v>0</v>
      </c>
      <c r="E48" s="5">
        <v>1</v>
      </c>
      <c r="F48" s="5">
        <f>F47</f>
        <v>75</v>
      </c>
      <c r="G48" s="5"/>
      <c r="H48" s="5">
        <v>1</v>
      </c>
      <c r="I48" s="5"/>
      <c r="J48" s="5">
        <v>107</v>
      </c>
      <c r="K48" s="5"/>
      <c r="L48" s="5">
        <v>514</v>
      </c>
      <c r="M48" s="5">
        <f t="shared" ref="M48:M50" si="24">L48-J48</f>
        <v>407</v>
      </c>
    </row>
    <row r="49" spans="1:13">
      <c r="A49" s="5">
        <v>9</v>
      </c>
      <c r="B49" s="5" t="str">
        <f t="shared" ref="B49:B52" si="25">B48</f>
        <v>ID8</v>
      </c>
      <c r="C49" s="5">
        <v>30</v>
      </c>
      <c r="D49" s="5">
        <v>0</v>
      </c>
      <c r="E49" s="5">
        <v>0</v>
      </c>
      <c r="F49" s="5">
        <f t="shared" ref="F49:F52" si="26">F48</f>
        <v>75</v>
      </c>
      <c r="G49" s="5"/>
      <c r="H49" s="5">
        <v>1</v>
      </c>
      <c r="I49" s="5"/>
      <c r="J49" s="5">
        <v>107</v>
      </c>
      <c r="K49" s="5"/>
      <c r="L49" s="5"/>
      <c r="M49" s="5">
        <f t="shared" si="24"/>
        <v>-107</v>
      </c>
    </row>
    <row r="50" spans="1:13">
      <c r="A50" s="5" t="s">
        <v>1119</v>
      </c>
      <c r="B50" s="5" t="str">
        <f t="shared" si="25"/>
        <v>ID8</v>
      </c>
      <c r="C50" s="5">
        <v>40</v>
      </c>
      <c r="D50" s="5">
        <v>0</v>
      </c>
      <c r="E50" s="5">
        <v>1</v>
      </c>
      <c r="F50" s="5">
        <f t="shared" si="26"/>
        <v>75</v>
      </c>
      <c r="G50" s="5"/>
      <c r="H50" s="5">
        <v>1</v>
      </c>
      <c r="I50" s="5"/>
      <c r="J50" s="5">
        <v>107</v>
      </c>
      <c r="K50" s="5"/>
      <c r="L50" s="5">
        <v>198</v>
      </c>
      <c r="M50" s="5">
        <f t="shared" si="24"/>
        <v>91</v>
      </c>
    </row>
    <row r="51" spans="1:13">
      <c r="A51" s="5">
        <v>29</v>
      </c>
      <c r="B51" s="5" t="str">
        <f t="shared" si="25"/>
        <v>ID8</v>
      </c>
      <c r="C51" s="5">
        <v>10</v>
      </c>
      <c r="D51" s="5">
        <v>1</v>
      </c>
      <c r="E51" s="5">
        <v>1</v>
      </c>
      <c r="F51" s="5">
        <f t="shared" si="26"/>
        <v>75</v>
      </c>
      <c r="G51" s="5"/>
      <c r="H51" s="5">
        <v>1</v>
      </c>
      <c r="I51" s="5"/>
      <c r="J51" s="5">
        <v>107</v>
      </c>
      <c r="K51" s="5"/>
      <c r="L51" s="5">
        <v>306</v>
      </c>
      <c r="M51" s="5">
        <f>L51-J51</f>
        <v>199</v>
      </c>
    </row>
    <row r="52" spans="1:13">
      <c r="A52" s="5">
        <v>39</v>
      </c>
      <c r="B52" s="5" t="str">
        <f t="shared" si="25"/>
        <v>ID8</v>
      </c>
      <c r="C52" s="5">
        <v>20</v>
      </c>
      <c r="D52" s="5">
        <v>1</v>
      </c>
      <c r="E52" s="5">
        <v>1</v>
      </c>
      <c r="F52" s="5">
        <f t="shared" si="26"/>
        <v>75</v>
      </c>
      <c r="G52" s="5"/>
      <c r="H52" s="5">
        <v>2</v>
      </c>
      <c r="I52" s="5"/>
      <c r="J52" s="5">
        <v>107</v>
      </c>
      <c r="K52" s="5"/>
      <c r="L52" s="5">
        <v>197</v>
      </c>
      <c r="M52" s="5">
        <f t="shared" ref="M52" si="27">L52-J52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02_14</vt:lpstr>
      <vt:lpstr>02_15</vt:lpstr>
      <vt:lpstr>02_16</vt:lpstr>
      <vt:lpstr>02_17</vt:lpstr>
      <vt:lpstr>02_20</vt:lpstr>
      <vt:lpstr>02_21</vt:lpstr>
      <vt:lpstr>02_22</vt:lpstr>
      <vt:lpstr>02_23</vt:lpstr>
      <vt:lpstr>02_24</vt:lpstr>
      <vt:lpstr>02_25</vt:lpstr>
      <vt:lpstr>02_26</vt:lpstr>
      <vt:lpstr>02_27</vt:lpstr>
      <vt:lpstr>02_28</vt:lpstr>
      <vt:lpstr>02_29</vt:lpstr>
      <vt:lpstr>03_01</vt:lpstr>
      <vt:lpstr>03_02</vt:lpstr>
      <vt:lpstr>03_03</vt:lpstr>
      <vt:lpstr>03_04</vt:lpstr>
      <vt:lpstr>03_05</vt:lpstr>
      <vt:lpstr>03_06</vt:lpstr>
      <vt:lpstr>03_07</vt:lpstr>
      <vt:lpstr>03_08</vt:lpstr>
      <vt:lpstr>03_11</vt:lpstr>
      <vt:lpstr>03_12</vt:lpstr>
      <vt:lpstr>05_08</vt:lpstr>
      <vt:lpstr>05_09</vt:lpstr>
      <vt:lpstr>05_31</vt:lpstr>
      <vt:lpstr>06_01</vt:lpstr>
      <vt:lpstr>06_02</vt:lpstr>
      <vt:lpstr>06_03</vt:lpstr>
      <vt:lpstr>Summary</vt:lpstr>
      <vt:lpstr>06_04</vt:lpstr>
      <vt:lpstr>06_05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CLEMENCON Paul</cp:lastModifiedBy>
  <cp:revision/>
  <dcterms:created xsi:type="dcterms:W3CDTF">2024-02-14T16:56:16Z</dcterms:created>
  <dcterms:modified xsi:type="dcterms:W3CDTF">2025-10-09T15:36:51Z</dcterms:modified>
  <cp:category/>
  <cp:contentStatus/>
</cp:coreProperties>
</file>