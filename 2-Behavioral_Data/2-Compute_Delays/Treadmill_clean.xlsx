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12760t\Desktop\Analyse_Treadmill\"/>
    </mc:Choice>
  </mc:AlternateContent>
  <xr:revisionPtr revIDLastSave="0" documentId="13_ncr:1_{E92C2FC4-08F7-4DF3-AB56-79F0D15C9FEC}" xr6:coauthVersionLast="45" xr6:coauthVersionMax="45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02_16" sheetId="1" r:id="rId1"/>
    <sheet name="02_17" sheetId="2" r:id="rId2"/>
    <sheet name="02_20" sheetId="3" r:id="rId3"/>
    <sheet name="02_21" sheetId="4" r:id="rId4"/>
    <sheet name="02_22" sheetId="5" r:id="rId5"/>
    <sheet name="02_23" sheetId="6" r:id="rId6"/>
    <sheet name="02_24" sheetId="7" r:id="rId7"/>
    <sheet name="02_25" sheetId="8" r:id="rId8"/>
    <sheet name="02_26" sheetId="9" r:id="rId9"/>
    <sheet name="02_27" sheetId="10" r:id="rId10"/>
    <sheet name="02_28" sheetId="11" r:id="rId11"/>
    <sheet name="02_29" sheetId="12" r:id="rId12"/>
    <sheet name="03_01" sheetId="13" r:id="rId13"/>
    <sheet name="03_02" sheetId="14" r:id="rId14"/>
    <sheet name="03_03" sheetId="15" r:id="rId15"/>
    <sheet name="03_04" sheetId="16" r:id="rId16"/>
    <sheet name="03_05" sheetId="17" r:id="rId17"/>
    <sheet name="03_06" sheetId="18" r:id="rId18"/>
    <sheet name="03_07" sheetId="19" r:id="rId19"/>
    <sheet name="03_08" sheetId="20" r:id="rId20"/>
    <sheet name="03_11" sheetId="21" r:id="rId21"/>
    <sheet name="03_12" sheetId="22" r:id="rId2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" i="22" l="1" a="1"/>
  <c r="K16" i="22" s="1"/>
  <c r="N6" i="22"/>
  <c r="B6" i="22"/>
  <c r="B7" i="22" s="1"/>
  <c r="N5" i="22"/>
  <c r="B5" i="22"/>
  <c r="N4" i="22"/>
  <c r="B4" i="22"/>
  <c r="N3" i="22"/>
  <c r="F3" i="22"/>
  <c r="F4" i="22" s="1"/>
  <c r="F5" i="22" s="1"/>
  <c r="F6" i="22" s="1"/>
  <c r="B3" i="22"/>
  <c r="N2" i="22"/>
  <c r="J2" i="22"/>
  <c r="B18" i="21"/>
  <c r="B19" i="21" s="1"/>
  <c r="N17" i="21"/>
  <c r="B17" i="21"/>
  <c r="N16" i="21"/>
  <c r="F16" i="21"/>
  <c r="F17" i="21" s="1"/>
  <c r="F18" i="21" s="1"/>
  <c r="F19" i="21" s="1"/>
  <c r="F20" i="21" s="1"/>
  <c r="F21" i="21" s="1"/>
  <c r="B16" i="21"/>
  <c r="N15" i="21"/>
  <c r="B12" i="21"/>
  <c r="B13" i="21" s="1"/>
  <c r="N11" i="21"/>
  <c r="B11" i="21"/>
  <c r="N10" i="21"/>
  <c r="F10" i="21"/>
  <c r="F11" i="21" s="1"/>
  <c r="F12" i="21" s="1"/>
  <c r="F13" i="21" s="1"/>
  <c r="F14" i="21" s="1"/>
  <c r="B10" i="21"/>
  <c r="N9" i="21"/>
  <c r="F4" i="21"/>
  <c r="F5" i="21" s="1"/>
  <c r="F6" i="21" s="1"/>
  <c r="F7" i="21" s="1"/>
  <c r="F8" i="21" s="1"/>
  <c r="N3" i="21"/>
  <c r="F3" i="21"/>
  <c r="B3" i="21"/>
  <c r="B4" i="21" s="1"/>
  <c r="N2" i="21"/>
  <c r="B5" i="20"/>
  <c r="B6" i="20" s="1"/>
  <c r="N4" i="20"/>
  <c r="B4" i="20"/>
  <c r="N3" i="20"/>
  <c r="F3" i="20"/>
  <c r="F4" i="20" s="1"/>
  <c r="F5" i="20" s="1"/>
  <c r="F6" i="20" s="1"/>
  <c r="B3" i="20"/>
  <c r="N2" i="20"/>
  <c r="J2" i="20"/>
  <c r="N9" i="19"/>
  <c r="F4" i="19"/>
  <c r="F5" i="19" s="1"/>
  <c r="F6" i="19" s="1"/>
  <c r="F7" i="19" s="1"/>
  <c r="F8" i="19" s="1"/>
  <c r="N3" i="19"/>
  <c r="F3" i="19"/>
  <c r="B3" i="19"/>
  <c r="B4" i="19" s="1"/>
  <c r="N2" i="19"/>
  <c r="F26" i="18"/>
  <c r="F27" i="18" s="1"/>
  <c r="F28" i="18" s="1"/>
  <c r="F29" i="18" s="1"/>
  <c r="N25" i="18"/>
  <c r="F25" i="18"/>
  <c r="B25" i="18"/>
  <c r="B26" i="18" s="1"/>
  <c r="N24" i="18"/>
  <c r="N18" i="18"/>
  <c r="F18" i="18"/>
  <c r="F19" i="18" s="1"/>
  <c r="F20" i="18" s="1"/>
  <c r="F21" i="18" s="1"/>
  <c r="F22" i="18" s="1"/>
  <c r="F23" i="18" s="1"/>
  <c r="B18" i="18"/>
  <c r="B19" i="18" s="1"/>
  <c r="N17" i="18"/>
  <c r="F11" i="18"/>
  <c r="F12" i="18" s="1"/>
  <c r="F13" i="18" s="1"/>
  <c r="F14" i="18" s="1"/>
  <c r="F15" i="18" s="1"/>
  <c r="F16" i="18" s="1"/>
  <c r="B11" i="18"/>
  <c r="B12" i="18" s="1"/>
  <c r="F10" i="18"/>
  <c r="B10" i="18"/>
  <c r="N10" i="18" s="1"/>
  <c r="N9" i="18"/>
  <c r="F5" i="18"/>
  <c r="F6" i="18" s="1"/>
  <c r="F7" i="18" s="1"/>
  <c r="F8" i="18" s="1"/>
  <c r="F4" i="18"/>
  <c r="F3" i="18"/>
  <c r="B3" i="18"/>
  <c r="B4" i="18" s="1"/>
  <c r="N2" i="18"/>
  <c r="N8" i="17"/>
  <c r="F5" i="17"/>
  <c r="F6" i="17" s="1"/>
  <c r="F4" i="17"/>
  <c r="F3" i="17"/>
  <c r="B3" i="17"/>
  <c r="B4" i="17" s="1"/>
  <c r="N2" i="17"/>
  <c r="J2" i="17"/>
  <c r="F18" i="16"/>
  <c r="F19" i="16" s="1"/>
  <c r="F20" i="16" s="1"/>
  <c r="F21" i="16" s="1"/>
  <c r="F22" i="16" s="1"/>
  <c r="B18" i="16"/>
  <c r="B19" i="16" s="1"/>
  <c r="N17" i="16"/>
  <c r="F12" i="16"/>
  <c r="F13" i="16" s="1"/>
  <c r="B12" i="16"/>
  <c r="B13" i="16" s="1"/>
  <c r="N11" i="16"/>
  <c r="F11" i="16"/>
  <c r="B11" i="16"/>
  <c r="N10" i="16"/>
  <c r="N3" i="16"/>
  <c r="F3" i="16"/>
  <c r="F4" i="16" s="1"/>
  <c r="F5" i="16" s="1"/>
  <c r="F6" i="16" s="1"/>
  <c r="B3" i="16"/>
  <c r="B4" i="16" s="1"/>
  <c r="N2" i="16"/>
  <c r="F17" i="15"/>
  <c r="F18" i="15" s="1"/>
  <c r="F19" i="15" s="1"/>
  <c r="F20" i="15" s="1"/>
  <c r="F21" i="15" s="1"/>
  <c r="F22" i="15" s="1"/>
  <c r="F16" i="15"/>
  <c r="F15" i="15"/>
  <c r="B15" i="15"/>
  <c r="B16" i="15" s="1"/>
  <c r="N14" i="15"/>
  <c r="B6" i="15"/>
  <c r="B7" i="15" s="1"/>
  <c r="B5" i="15"/>
  <c r="N5" i="15" s="1"/>
  <c r="N4" i="15"/>
  <c r="B4" i="15"/>
  <c r="N3" i="15"/>
  <c r="F3" i="15"/>
  <c r="F4" i="15" s="1"/>
  <c r="F5" i="15" s="1"/>
  <c r="F6" i="15" s="1"/>
  <c r="B3" i="15"/>
  <c r="N2" i="15"/>
  <c r="J2" i="15"/>
  <c r="B23" i="14"/>
  <c r="B24" i="14" s="1"/>
  <c r="B22" i="14"/>
  <c r="N22" i="14" s="1"/>
  <c r="N21" i="14"/>
  <c r="B21" i="14"/>
  <c r="N20" i="14"/>
  <c r="F20" i="14"/>
  <c r="F21" i="14" s="1"/>
  <c r="F22" i="14" s="1"/>
  <c r="F23" i="14" s="1"/>
  <c r="F24" i="14" s="1"/>
  <c r="F25" i="14" s="1"/>
  <c r="B20" i="14"/>
  <c r="N19" i="14"/>
  <c r="N10" i="14"/>
  <c r="F10" i="14"/>
  <c r="F11" i="14" s="1"/>
  <c r="F12" i="14" s="1"/>
  <c r="B10" i="14"/>
  <c r="B11" i="14" s="1"/>
  <c r="N9" i="14"/>
  <c r="F5" i="14"/>
  <c r="F6" i="14" s="1"/>
  <c r="F8" i="14" s="1"/>
  <c r="F4" i="14"/>
  <c r="F3" i="14"/>
  <c r="B3" i="14"/>
  <c r="B4" i="14" s="1"/>
  <c r="N2" i="14"/>
  <c r="J2" i="14"/>
  <c r="B26" i="13"/>
  <c r="B27" i="13" s="1"/>
  <c r="N25" i="13"/>
  <c r="F25" i="13"/>
  <c r="F26" i="13" s="1"/>
  <c r="F27" i="13" s="1"/>
  <c r="F28" i="13" s="1"/>
  <c r="F29" i="13" s="1"/>
  <c r="F30" i="13" s="1"/>
  <c r="F31" i="13" s="1"/>
  <c r="F32" i="13" s="1"/>
  <c r="B25" i="13"/>
  <c r="N24" i="13"/>
  <c r="B20" i="13"/>
  <c r="B21" i="13" s="1"/>
  <c r="N19" i="13"/>
  <c r="F19" i="13"/>
  <c r="F20" i="13" s="1"/>
  <c r="F21" i="13" s="1"/>
  <c r="F22" i="13" s="1"/>
  <c r="F23" i="13" s="1"/>
  <c r="B19" i="13"/>
  <c r="N18" i="13"/>
  <c r="F13" i="13"/>
  <c r="F14" i="13" s="1"/>
  <c r="F12" i="13"/>
  <c r="B12" i="13"/>
  <c r="B13" i="13" s="1"/>
  <c r="N11" i="13"/>
  <c r="B10" i="13"/>
  <c r="N10" i="13" s="1"/>
  <c r="F7" i="13"/>
  <c r="B6" i="13"/>
  <c r="N6" i="13" s="1"/>
  <c r="B5" i="13"/>
  <c r="N5" i="13" s="1"/>
  <c r="N4" i="13"/>
  <c r="B4" i="13"/>
  <c r="B8" i="13" s="1"/>
  <c r="N8" i="13" s="1"/>
  <c r="N3" i="13"/>
  <c r="F3" i="13"/>
  <c r="F4" i="13" s="1"/>
  <c r="B3" i="13"/>
  <c r="B7" i="13" s="1"/>
  <c r="N7" i="13" s="1"/>
  <c r="N2" i="13"/>
  <c r="J2" i="13"/>
  <c r="F12" i="12"/>
  <c r="F13" i="12" s="1"/>
  <c r="F11" i="12"/>
  <c r="F10" i="12"/>
  <c r="F9" i="12"/>
  <c r="B9" i="12"/>
  <c r="B10" i="12" s="1"/>
  <c r="N8" i="12"/>
  <c r="F6" i="12"/>
  <c r="F7" i="12" s="1"/>
  <c r="F5" i="12"/>
  <c r="F4" i="12"/>
  <c r="F3" i="12"/>
  <c r="B3" i="12"/>
  <c r="B4" i="12" s="1"/>
  <c r="N2" i="12"/>
  <c r="J2" i="12"/>
  <c r="F23" i="11"/>
  <c r="F24" i="11" s="1"/>
  <c r="F25" i="11" s="1"/>
  <c r="F26" i="11" s="1"/>
  <c r="F27" i="11" s="1"/>
  <c r="B23" i="11"/>
  <c r="B24" i="11" s="1"/>
  <c r="N22" i="11"/>
  <c r="F17" i="11"/>
  <c r="F18" i="11" s="1"/>
  <c r="F19" i="11" s="1"/>
  <c r="F20" i="11" s="1"/>
  <c r="F21" i="11" s="1"/>
  <c r="B17" i="11"/>
  <c r="B18" i="11" s="1"/>
  <c r="N16" i="11"/>
  <c r="F11" i="11"/>
  <c r="F12" i="11" s="1"/>
  <c r="F13" i="11" s="1"/>
  <c r="F14" i="11" s="1"/>
  <c r="F15" i="11" s="1"/>
  <c r="B11" i="11"/>
  <c r="B12" i="11" s="1"/>
  <c r="N10" i="11"/>
  <c r="F10" i="11"/>
  <c r="B10" i="11"/>
  <c r="N9" i="11"/>
  <c r="B3" i="11"/>
  <c r="B4" i="11" s="1"/>
  <c r="N2" i="11"/>
  <c r="J2" i="11"/>
  <c r="F41" i="10"/>
  <c r="F42" i="10" s="1"/>
  <c r="F43" i="10" s="1"/>
  <c r="F44" i="10" s="1"/>
  <c r="F45" i="10" s="1"/>
  <c r="B41" i="10"/>
  <c r="N41" i="10" s="1"/>
  <c r="N40" i="10"/>
  <c r="F30" i="10"/>
  <c r="F31" i="10" s="1"/>
  <c r="F32" i="10" s="1"/>
  <c r="F33" i="10" s="1"/>
  <c r="F34" i="10" s="1"/>
  <c r="F35" i="10" s="1"/>
  <c r="F36" i="10" s="1"/>
  <c r="F37" i="10" s="1"/>
  <c r="F38" i="10" s="1"/>
  <c r="F39" i="10" s="1"/>
  <c r="B30" i="10"/>
  <c r="B31" i="10" s="1"/>
  <c r="N29" i="10"/>
  <c r="F24" i="10"/>
  <c r="F25" i="10" s="1"/>
  <c r="F26" i="10" s="1"/>
  <c r="F27" i="10" s="1"/>
  <c r="F28" i="10" s="1"/>
  <c r="B24" i="10"/>
  <c r="B25" i="10" s="1"/>
  <c r="N23" i="10"/>
  <c r="F23" i="10"/>
  <c r="B23" i="10"/>
  <c r="N22" i="10"/>
  <c r="F17" i="10"/>
  <c r="F18" i="10" s="1"/>
  <c r="F19" i="10" s="1"/>
  <c r="F20" i="10" s="1"/>
  <c r="F16" i="10"/>
  <c r="B16" i="10"/>
  <c r="B17" i="10" s="1"/>
  <c r="N15" i="10"/>
  <c r="N14" i="10"/>
  <c r="N9" i="10"/>
  <c r="F9" i="10"/>
  <c r="F10" i="10" s="1"/>
  <c r="F11" i="10" s="1"/>
  <c r="F12" i="10" s="1"/>
  <c r="F13" i="10" s="1"/>
  <c r="B9" i="10"/>
  <c r="B10" i="10" s="1"/>
  <c r="N8" i="10"/>
  <c r="B3" i="10"/>
  <c r="B4" i="10" s="1"/>
  <c r="N2" i="10"/>
  <c r="J2" i="10"/>
  <c r="B42" i="9"/>
  <c r="N42" i="9" s="1"/>
  <c r="B41" i="9"/>
  <c r="N41" i="9" s="1"/>
  <c r="N40" i="9"/>
  <c r="B40" i="9"/>
  <c r="N39" i="9"/>
  <c r="N32" i="9"/>
  <c r="B29" i="9"/>
  <c r="N29" i="9" s="1"/>
  <c r="B28" i="9"/>
  <c r="N28" i="9" s="1"/>
  <c r="N27" i="9"/>
  <c r="B17" i="9"/>
  <c r="B18" i="9" s="1"/>
  <c r="N16" i="9"/>
  <c r="B10" i="9"/>
  <c r="N10" i="9" s="1"/>
  <c r="N9" i="9"/>
  <c r="N6" i="9"/>
  <c r="B6" i="9"/>
  <c r="B7" i="9" s="1"/>
  <c r="N5" i="9"/>
  <c r="N4" i="9"/>
  <c r="N3" i="9"/>
  <c r="N2" i="9"/>
  <c r="J2" i="9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J2" i="8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J2" i="7"/>
  <c r="N55" i="6"/>
  <c r="N54" i="6"/>
  <c r="N53" i="6"/>
  <c r="N52" i="6"/>
  <c r="N51" i="6"/>
  <c r="L51" i="6"/>
  <c r="M51" i="6" s="1"/>
  <c r="N50" i="6"/>
  <c r="M50" i="6"/>
  <c r="L50" i="6"/>
  <c r="N49" i="6"/>
  <c r="M49" i="6"/>
  <c r="L49" i="6"/>
  <c r="N48" i="6"/>
  <c r="M48" i="6"/>
  <c r="L48" i="6"/>
  <c r="N47" i="6"/>
  <c r="L47" i="6"/>
  <c r="M47" i="6" s="1"/>
  <c r="N46" i="6"/>
  <c r="L46" i="6"/>
  <c r="M46" i="6" s="1"/>
  <c r="N45" i="6"/>
  <c r="M45" i="6"/>
  <c r="L45" i="6"/>
  <c r="N44" i="6"/>
  <c r="L44" i="6"/>
  <c r="M44" i="6" s="1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J2" i="6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J2" i="5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J2" i="4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J2" i="3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8" i="1"/>
  <c r="N7" i="1"/>
  <c r="N6" i="1"/>
  <c r="N5" i="1"/>
  <c r="N4" i="1"/>
  <c r="N3" i="1"/>
  <c r="N2" i="1"/>
  <c r="B5" i="18" l="1"/>
  <c r="N4" i="18"/>
  <c r="F14" i="14"/>
  <c r="F13" i="14"/>
  <c r="B15" i="16"/>
  <c r="N15" i="16" s="1"/>
  <c r="B14" i="16"/>
  <c r="N13" i="16"/>
  <c r="B5" i="19"/>
  <c r="N4" i="19"/>
  <c r="B8" i="9"/>
  <c r="N8" i="9" s="1"/>
  <c r="N7" i="9"/>
  <c r="B32" i="10"/>
  <c r="N31" i="10"/>
  <c r="B12" i="14"/>
  <c r="N11" i="14"/>
  <c r="B25" i="11"/>
  <c r="N24" i="11"/>
  <c r="B22" i="13"/>
  <c r="N21" i="13"/>
  <c r="N4" i="12"/>
  <c r="B5" i="12"/>
  <c r="F16" i="13"/>
  <c r="F15" i="13"/>
  <c r="F17" i="13" s="1"/>
  <c r="B20" i="16"/>
  <c r="N19" i="16"/>
  <c r="B17" i="15"/>
  <c r="N16" i="15"/>
  <c r="B5" i="11"/>
  <c r="N4" i="11"/>
  <c r="B28" i="13"/>
  <c r="N27" i="13"/>
  <c r="B5" i="17"/>
  <c r="N4" i="17"/>
  <c r="B20" i="18"/>
  <c r="N19" i="18"/>
  <c r="B5" i="10"/>
  <c r="N4" i="10"/>
  <c r="N13" i="21"/>
  <c r="B14" i="21"/>
  <c r="N14" i="21" s="1"/>
  <c r="B19" i="11"/>
  <c r="N18" i="11"/>
  <c r="N18" i="9"/>
  <c r="B19" i="9"/>
  <c r="F15" i="16"/>
  <c r="F14" i="16"/>
  <c r="F16" i="16" s="1"/>
  <c r="B8" i="15"/>
  <c r="N7" i="15"/>
  <c r="B25" i="14"/>
  <c r="N25" i="14" s="1"/>
  <c r="N24" i="14"/>
  <c r="B5" i="16"/>
  <c r="N4" i="16"/>
  <c r="B8" i="22"/>
  <c r="N8" i="22" s="1"/>
  <c r="N7" i="22"/>
  <c r="N4" i="21"/>
  <c r="B5" i="21"/>
  <c r="B11" i="10"/>
  <c r="N10" i="10"/>
  <c r="N17" i="10"/>
  <c r="B18" i="10"/>
  <c r="B13" i="11"/>
  <c r="N12" i="11"/>
  <c r="B11" i="12"/>
  <c r="N10" i="12"/>
  <c r="B5" i="14"/>
  <c r="N4" i="14"/>
  <c r="B7" i="20"/>
  <c r="N6" i="20"/>
  <c r="B20" i="21"/>
  <c r="N19" i="21"/>
  <c r="F5" i="13"/>
  <c r="F8" i="13"/>
  <c r="B13" i="18"/>
  <c r="N12" i="18"/>
  <c r="B26" i="10"/>
  <c r="N25" i="10"/>
  <c r="N13" i="13"/>
  <c r="B14" i="13"/>
  <c r="B27" i="18"/>
  <c r="N26" i="18"/>
  <c r="B11" i="9"/>
  <c r="N16" i="10"/>
  <c r="N12" i="13"/>
  <c r="N23" i="14"/>
  <c r="N12" i="21"/>
  <c r="N18" i="21"/>
  <c r="N3" i="10"/>
  <c r="N3" i="11"/>
  <c r="N6" i="15"/>
  <c r="N24" i="10"/>
  <c r="N30" i="10"/>
  <c r="B42" i="10"/>
  <c r="N11" i="11"/>
  <c r="N17" i="11"/>
  <c r="N23" i="11"/>
  <c r="N12" i="16"/>
  <c r="N18" i="16"/>
  <c r="B30" i="9"/>
  <c r="N3" i="12"/>
  <c r="N9" i="12"/>
  <c r="N20" i="13"/>
  <c r="N26" i="13"/>
  <c r="N15" i="15"/>
  <c r="N3" i="17"/>
  <c r="N3" i="18"/>
  <c r="B9" i="13"/>
  <c r="N9" i="13" s="1"/>
  <c r="N17" i="9"/>
  <c r="B43" i="9"/>
  <c r="N11" i="18"/>
  <c r="N3" i="14"/>
  <c r="N5" i="20"/>
  <c r="B33" i="10" l="1"/>
  <c r="N32" i="10"/>
  <c r="B12" i="9"/>
  <c r="N11" i="9"/>
  <c r="B14" i="14"/>
  <c r="B13" i="14"/>
  <c r="N12" i="14"/>
  <c r="B14" i="11"/>
  <c r="N14" i="11" s="1"/>
  <c r="N13" i="11"/>
  <c r="B15" i="11"/>
  <c r="N15" i="11" s="1"/>
  <c r="B6" i="17"/>
  <c r="N5" i="17"/>
  <c r="B6" i="14"/>
  <c r="N5" i="14"/>
  <c r="B43" i="10"/>
  <c r="N42" i="10"/>
  <c r="B20" i="9"/>
  <c r="N19" i="9"/>
  <c r="N20" i="16"/>
  <c r="B21" i="16"/>
  <c r="B28" i="18"/>
  <c r="N27" i="18"/>
  <c r="B29" i="13"/>
  <c r="N28" i="13"/>
  <c r="B16" i="13"/>
  <c r="N16" i="13" s="1"/>
  <c r="B15" i="13"/>
  <c r="N14" i="13"/>
  <c r="B6" i="11"/>
  <c r="N5" i="11"/>
  <c r="N26" i="10"/>
  <c r="B27" i="10"/>
  <c r="B18" i="15"/>
  <c r="N17" i="15"/>
  <c r="B12" i="10"/>
  <c r="N11" i="10"/>
  <c r="F9" i="13"/>
  <c r="F6" i="13"/>
  <c r="F10" i="13" s="1"/>
  <c r="N14" i="16"/>
  <c r="B16" i="16"/>
  <c r="N16" i="16" s="1"/>
  <c r="B6" i="10"/>
  <c r="N5" i="10"/>
  <c r="B9" i="15"/>
  <c r="N8" i="15"/>
  <c r="B6" i="19"/>
  <c r="N5" i="19"/>
  <c r="N5" i="21"/>
  <c r="B6" i="21"/>
  <c r="B6" i="12"/>
  <c r="N5" i="12"/>
  <c r="B26" i="11"/>
  <c r="N25" i="11"/>
  <c r="B12" i="12"/>
  <c r="N11" i="12"/>
  <c r="B44" i="9"/>
  <c r="N44" i="9" s="1"/>
  <c r="N43" i="9"/>
  <c r="B19" i="10"/>
  <c r="N18" i="10"/>
  <c r="N19" i="11"/>
  <c r="B20" i="11"/>
  <c r="B21" i="21"/>
  <c r="N21" i="21" s="1"/>
  <c r="N20" i="21"/>
  <c r="B8" i="20"/>
  <c r="N8" i="20" s="1"/>
  <c r="N7" i="20"/>
  <c r="B6" i="16"/>
  <c r="N5" i="16"/>
  <c r="B21" i="18"/>
  <c r="N20" i="18"/>
  <c r="B23" i="13"/>
  <c r="N23" i="13" s="1"/>
  <c r="N22" i="13"/>
  <c r="B14" i="18"/>
  <c r="N13" i="18"/>
  <c r="B31" i="9"/>
  <c r="N30" i="9"/>
  <c r="B6" i="18"/>
  <c r="N5" i="18"/>
  <c r="B44" i="10" l="1"/>
  <c r="N43" i="10"/>
  <c r="B7" i="14"/>
  <c r="N6" i="14"/>
  <c r="N20" i="11"/>
  <c r="B21" i="11"/>
  <c r="N21" i="11" s="1"/>
  <c r="B7" i="16"/>
  <c r="N6" i="16"/>
  <c r="B7" i="21"/>
  <c r="N6" i="21"/>
  <c r="B19" i="15"/>
  <c r="N18" i="15"/>
  <c r="B7" i="19"/>
  <c r="N6" i="19"/>
  <c r="B33" i="9"/>
  <c r="N31" i="9"/>
  <c r="N6" i="10"/>
  <c r="B7" i="10"/>
  <c r="N7" i="10" s="1"/>
  <c r="B15" i="18"/>
  <c r="N14" i="18"/>
  <c r="B15" i="14"/>
  <c r="N13" i="14"/>
  <c r="B16" i="14"/>
  <c r="N14" i="14"/>
  <c r="B13" i="12"/>
  <c r="N13" i="12" s="1"/>
  <c r="N12" i="12"/>
  <c r="N21" i="16"/>
  <c r="B22" i="16"/>
  <c r="N22" i="16" s="1"/>
  <c r="N6" i="12"/>
  <c r="B7" i="12"/>
  <c r="N7" i="12" s="1"/>
  <c r="N27" i="10"/>
  <c r="B28" i="10"/>
  <c r="N28" i="10" s="1"/>
  <c r="B8" i="11"/>
  <c r="N8" i="11" s="1"/>
  <c r="B7" i="11"/>
  <c r="N7" i="11" s="1"/>
  <c r="N6" i="11"/>
  <c r="B7" i="17"/>
  <c r="N7" i="17" s="1"/>
  <c r="N6" i="17"/>
  <c r="B7" i="18"/>
  <c r="N6" i="18"/>
  <c r="B10" i="15"/>
  <c r="N9" i="15"/>
  <c r="B17" i="13"/>
  <c r="N17" i="13" s="1"/>
  <c r="N15" i="13"/>
  <c r="B20" i="10"/>
  <c r="N19" i="10"/>
  <c r="B30" i="13"/>
  <c r="N29" i="13"/>
  <c r="B29" i="18"/>
  <c r="N29" i="18" s="1"/>
  <c r="N28" i="18"/>
  <c r="N12" i="9"/>
  <c r="B13" i="9"/>
  <c r="B22" i="18"/>
  <c r="N21" i="18"/>
  <c r="N26" i="11"/>
  <c r="B27" i="11"/>
  <c r="N27" i="11" s="1"/>
  <c r="B13" i="10"/>
  <c r="N13" i="10" s="1"/>
  <c r="N12" i="10"/>
  <c r="B21" i="9"/>
  <c r="N20" i="9"/>
  <c r="N33" i="10"/>
  <c r="B34" i="10"/>
  <c r="B8" i="21" l="1"/>
  <c r="N8" i="21" s="1"/>
  <c r="N7" i="21"/>
  <c r="B35" i="10"/>
  <c r="N34" i="10"/>
  <c r="B31" i="13"/>
  <c r="N30" i="13"/>
  <c r="B20" i="15"/>
  <c r="N19" i="15"/>
  <c r="B8" i="16"/>
  <c r="N7" i="16"/>
  <c r="N21" i="9"/>
  <c r="B22" i="9"/>
  <c r="B18" i="14"/>
  <c r="N18" i="14" s="1"/>
  <c r="N16" i="14"/>
  <c r="N7" i="19"/>
  <c r="B8" i="19"/>
  <c r="N8" i="19" s="1"/>
  <c r="B21" i="10"/>
  <c r="N21" i="10" s="1"/>
  <c r="N20" i="10"/>
  <c r="B8" i="14"/>
  <c r="N8" i="14" s="1"/>
  <c r="N7" i="14"/>
  <c r="B11" i="15"/>
  <c r="N10" i="15"/>
  <c r="B23" i="18"/>
  <c r="N23" i="18" s="1"/>
  <c r="N22" i="18"/>
  <c r="B14" i="9"/>
  <c r="N13" i="9"/>
  <c r="B34" i="9"/>
  <c r="N33" i="9"/>
  <c r="B8" i="18"/>
  <c r="N8" i="18" s="1"/>
  <c r="N7" i="18"/>
  <c r="N15" i="14"/>
  <c r="B17" i="14"/>
  <c r="N17" i="14" s="1"/>
  <c r="B16" i="18"/>
  <c r="N16" i="18" s="1"/>
  <c r="N15" i="18"/>
  <c r="B45" i="10"/>
  <c r="N45" i="10" s="1"/>
  <c r="N44" i="10"/>
  <c r="B15" i="9" l="1"/>
  <c r="N15" i="9" s="1"/>
  <c r="N14" i="9"/>
  <c r="B23" i="9"/>
  <c r="N22" i="9"/>
  <c r="B35" i="9"/>
  <c r="N34" i="9"/>
  <c r="B9" i="16"/>
  <c r="N9" i="16" s="1"/>
  <c r="N8" i="16"/>
  <c r="B21" i="15"/>
  <c r="N20" i="15"/>
  <c r="B32" i="13"/>
  <c r="N32" i="13" s="1"/>
  <c r="N31" i="13"/>
  <c r="B36" i="10"/>
  <c r="N35" i="10"/>
  <c r="N11" i="15"/>
  <c r="B12" i="15"/>
  <c r="B24" i="9" l="1"/>
  <c r="N23" i="9"/>
  <c r="B13" i="15"/>
  <c r="N13" i="15" s="1"/>
  <c r="N12" i="15"/>
  <c r="B37" i="10"/>
  <c r="N36" i="10"/>
  <c r="B22" i="15"/>
  <c r="N22" i="15" s="1"/>
  <c r="N21" i="15"/>
  <c r="N35" i="9"/>
  <c r="B36" i="9"/>
  <c r="B38" i="10" l="1"/>
  <c r="N37" i="10"/>
  <c r="B37" i="9"/>
  <c r="N36" i="9"/>
  <c r="B25" i="9"/>
  <c r="N24" i="9"/>
  <c r="B38" i="9" l="1"/>
  <c r="N38" i="9" s="1"/>
  <c r="N37" i="9"/>
  <c r="B39" i="10"/>
  <c r="N39" i="10" s="1"/>
  <c r="N38" i="10"/>
  <c r="B26" i="9"/>
  <c r="N26" i="9" s="1"/>
  <c r="N25" i="9"/>
</calcChain>
</file>

<file path=xl/sharedStrings.xml><?xml version="1.0" encoding="utf-8"?>
<sst xmlns="http://schemas.openxmlformats.org/spreadsheetml/2006/main" count="1611" uniqueCount="852">
  <si>
    <t>vidéo</t>
  </si>
  <si>
    <t>grillon</t>
  </si>
  <si>
    <t>v</t>
  </si>
  <si>
    <t>safe</t>
  </si>
  <si>
    <t>mvt</t>
  </si>
  <si>
    <t>R</t>
  </si>
  <si>
    <t>comments</t>
  </si>
  <si>
    <t>keep</t>
  </si>
  <si>
    <t>ID</t>
  </si>
  <si>
    <t>diverse</t>
  </si>
  <si>
    <t>frames_lum</t>
  </si>
  <si>
    <t>frames_immo</t>
  </si>
  <si>
    <t>frames_reac</t>
  </si>
  <si>
    <t>idx</t>
  </si>
  <si>
    <t>Stack_Basler_acA720-520uc__40068684__20240216_143752957_extra_v20</t>
  </si>
  <si>
    <t>AP2 calib</t>
  </si>
  <si>
    <t>Stack_Basler_acA720-520uc__40068684__20240216_145228767_v10</t>
  </si>
  <si>
    <t>AP2</t>
  </si>
  <si>
    <t>Stack_Basler_acA720-520uc__40068684__20240216_150526483_v40</t>
  </si>
  <si>
    <t>collision</t>
  </si>
  <si>
    <t>Stack_Basler_acA720-520uc__40068684__20240216_151527970_v20</t>
  </si>
  <si>
    <t>Stack_Basler_acA720-520uc__40068684__20240216_152605007_v05</t>
  </si>
  <si>
    <t>Stack_Basler_acA720-520uc__40068684__20240216_153628818_v30</t>
  </si>
  <si>
    <t>Stack_Basler_acA720-520uc__40068684__20240216_154702135_v10</t>
  </si>
  <si>
    <t>M1</t>
  </si>
  <si>
    <t>NA</t>
  </si>
  <si>
    <t>Basler_acA720-520uc__40068684__20240217_134951546_v20</t>
  </si>
  <si>
    <t>AP1</t>
  </si>
  <si>
    <t>on voit ps lampe fin</t>
  </si>
  <si>
    <t>Basler_acA720-520uc__40068684__20240217_140047543_v10</t>
  </si>
  <si>
    <t xml:space="preserve">on voit ps lampe fin </t>
  </si>
  <si>
    <t>Basler_acA720-520uc__40068684__20240217_141014120_v40</t>
  </si>
  <si>
    <t>Basler_acA720-520uc__40068684__20240217_142016549_v05</t>
  </si>
  <si>
    <t>Basler_acA720-520uc__40068684__20240217_143123505_v30</t>
  </si>
  <si>
    <t>quasi 1</t>
  </si>
  <si>
    <t>Basler_acA720-520uc__40068684__20240217_144304753_v20_2</t>
  </si>
  <si>
    <t>descente</t>
  </si>
  <si>
    <t>Basler_acA720-520uc__40068684__20240217_144801740_extra05</t>
  </si>
  <si>
    <t>Basler_acA720-520uc__40068684__20240217_144826724_extra10</t>
  </si>
  <si>
    <t>AP3</t>
  </si>
  <si>
    <t>Basler_acA720-520uc__40068684__20240217_144843602_extra20</t>
  </si>
  <si>
    <t>AP4</t>
  </si>
  <si>
    <t>Basler_acA720-520uc__40068684__20240217_144859149_extra30</t>
  </si>
  <si>
    <t>AP5</t>
  </si>
  <si>
    <t>Basler_acA720-520uc__40068684__20240217_144913714_extra40</t>
  </si>
  <si>
    <t>AP6</t>
  </si>
  <si>
    <t>Basler_acA720-520uc__40068684__20240217_151408540_v40_1</t>
  </si>
  <si>
    <t>Basler_acA720-520uc__40068684__20240217_152458565_v05</t>
  </si>
  <si>
    <t>contact</t>
  </si>
  <si>
    <t>Basler_acA720-520uc__40068684__20240217_153451776_v20</t>
  </si>
  <si>
    <t>Basler_acA720-520uc__40068684__20240217_154450946_v10</t>
  </si>
  <si>
    <t>mais rep tot</t>
  </si>
  <si>
    <t>Basler_acA720-520uc__40068684__20240217_155513321_v30</t>
  </si>
  <si>
    <t>Basler_acA720-520uc__40068684__20240217_160539479_v40_2</t>
  </si>
  <si>
    <t>Basler_acA720-520uc__40068684__20240217_161017210_extra05</t>
  </si>
  <si>
    <t>Basler_acA720-520uc__40068684__20240217_161050861_extra20</t>
  </si>
  <si>
    <t>Basler_acA720-520uc__40068684__20240217_161102555_extra30</t>
  </si>
  <si>
    <t>Basler_acA720-520uc__40068684__20240217_161114934_extra40</t>
  </si>
  <si>
    <t>Basler_acA720-520uc__40068684__20240217_161128414_extra50</t>
  </si>
  <si>
    <t>Basler_acA720-520uc__40068684__20240217_161149868_extra10</t>
  </si>
  <si>
    <t>Basler_acA720-520uc__40068684__20240217_162531260_v10</t>
  </si>
  <si>
    <t>Basler_acA720-520uc__40068684__20240217_164257543_v20</t>
  </si>
  <si>
    <t>Basler_acA720-520uc__40068684__20240217_165234502_v05</t>
  </si>
  <si>
    <t>Basler_acA720-520uc__40068684__20240217_170242077_v40</t>
  </si>
  <si>
    <t>on voit pas debut bille</t>
  </si>
  <si>
    <t>Basler_acA720-520uc__40068684__20240217_171248438_v30</t>
  </si>
  <si>
    <t>Basler_acA720-520uc__40068684__20240217_172508459_v10_2</t>
  </si>
  <si>
    <t>Basler_acA720-520uc__40068684__20240217_172819509_</t>
  </si>
  <si>
    <t>Basler_acA720-520uc__40068684__20240217_172833782_</t>
  </si>
  <si>
    <t>Basler_acA720-520uc__40068684__20240217_172851293_</t>
  </si>
  <si>
    <t>Basler_acA720-520uc__40068684__20240217_172905559_</t>
  </si>
  <si>
    <t>Basler_acA720-520uc__40068684__20240217_172924062_</t>
  </si>
  <si>
    <t>Basler_acA720-520uc__40068684__20240217_181040036_v40</t>
  </si>
  <si>
    <t>Basler_acA720-520uc__40068684__20240217_181958720_v05</t>
  </si>
  <si>
    <t>Basler_acA720-520uc__40068684__20240217_183018846_v20</t>
  </si>
  <si>
    <t>Basler_acA720-520uc__40068684__20240217_184017917_v10</t>
  </si>
  <si>
    <t>Basler_acA720-520uc__40068684__20240217_185018732_v30</t>
  </si>
  <si>
    <t>Basler_acA720-520uc__40068684__20240217_190046077_v40_2</t>
  </si>
  <si>
    <t>Basler_acA720-520uc__40068684__20240217_190422624_</t>
  </si>
  <si>
    <t>Basler_acA720-520uc__40068684__20240217_190437196_</t>
  </si>
  <si>
    <t>Basler_acA720-520uc__40068684__20240217_190450581_</t>
  </si>
  <si>
    <t>Basler_acA720-520uc__40068684__20240217_190502426_</t>
  </si>
  <si>
    <t>Basler_acA720-520uc__40068684__20240217_190537669_</t>
  </si>
  <si>
    <t>Basler_acA720-520uc__40068684__20240217_190559574_</t>
  </si>
  <si>
    <t>Basler_acA720-520uc__40068684__20240217_192147632_v20</t>
  </si>
  <si>
    <t>Basler_acA720-520uc__40068684__20240217_193259440_v40</t>
  </si>
  <si>
    <t>Basler_acA720-520uc__40068684__20240217_194257051_v05</t>
  </si>
  <si>
    <t>Basler_acA720-520uc__40068684__20240217_195305566_v10</t>
  </si>
  <si>
    <t>Basler_acA720-520uc__40068684__20240217_200256645_v30</t>
  </si>
  <si>
    <t>Basler_acA720-520uc__40068684__20240217_201305212_v20</t>
  </si>
  <si>
    <t>test1</t>
  </si>
  <si>
    <t>test2</t>
  </si>
  <si>
    <t>test3</t>
  </si>
  <si>
    <t>test4</t>
  </si>
  <si>
    <t>test5</t>
  </si>
  <si>
    <t>Basler_acA720-520uc__40068684__20240220_133036435_v05</t>
  </si>
  <si>
    <t>depend def</t>
  </si>
  <si>
    <t>Basler_acA720-520uc__40068684__20240220_134136674_v10</t>
  </si>
  <si>
    <t>Basler_acA720-520uc__40068684__20240220_135110953_v20</t>
  </si>
  <si>
    <t>Basler_acA720-520uc__40068684__20240220_140140690_v40</t>
  </si>
  <si>
    <t>percute abdo</t>
  </si>
  <si>
    <t>Basler_acA720-520uc__40068684__20240220_141145231_v30</t>
  </si>
  <si>
    <t>oubli repet</t>
  </si>
  <si>
    <t>Basler_acA720-520uc__40068684__20240220_141443269_extra05</t>
  </si>
  <si>
    <t>Basler_acA720-520uc__40068684__20240220_141501481_extra10</t>
  </si>
  <si>
    <t>Basler_acA720-520uc__40068684__20240220_141546799_extra20</t>
  </si>
  <si>
    <t>Basler_acA720-520uc__40068684__20240220_141601021_extra30</t>
  </si>
  <si>
    <t>Basler_acA720-520uc__40068684__20240220_141614664_extra40</t>
  </si>
  <si>
    <t>Basler_acA720-520uc__40068684__20240220_144304575_v20</t>
  </si>
  <si>
    <t>Basler_acA720-520uc__40068684__20240220_145319097_v05</t>
  </si>
  <si>
    <t>rien</t>
  </si>
  <si>
    <t>Basler_acA720-520uc__40068684__20240220_150322987_v40</t>
  </si>
  <si>
    <t>Basler_acA720-520uc__40068684__20240220_151321086_v10</t>
  </si>
  <si>
    <t>rep avant je crois, delai arret bille reponse</t>
  </si>
  <si>
    <t>Basler_acA720-520uc__40068684__20240220_152321505_v30</t>
  </si>
  <si>
    <t>Basler_acA720-520uc__40068684__20240220_153327064_v20_2</t>
  </si>
  <si>
    <t>ambigu truc avant</t>
  </si>
  <si>
    <t>Basler_acA720-520uc__40068684__20240220_153509046_extra05</t>
  </si>
  <si>
    <t>Basler_acA720-520uc__40068684__20240220_153522226_extra10</t>
  </si>
  <si>
    <t>Basler_acA720-520uc__40068684__20240220_153551023_extra30</t>
  </si>
  <si>
    <t>Basler_acA720-520uc__40068684__20240220_153607321_extra20</t>
  </si>
  <si>
    <t>Basler_acA720-520uc__40068684__20240220_153620369_extra40</t>
  </si>
  <si>
    <t>Basler_acA720-520uc__40068684__20240220_153632600_extra50</t>
  </si>
  <si>
    <t>Basler_acA720-520uc__40068684__20240220_153645709_extra60</t>
  </si>
  <si>
    <t>Basler_acA720-520uc__40068684__20240220_153659544_extra70</t>
  </si>
  <si>
    <t>Basler_acA720-520uc__40068684__20240220_160343047_v05</t>
  </si>
  <si>
    <t>pas bien aligne chsoes avant</t>
  </si>
  <si>
    <t>Basler_acA720-520uc__40068684__20240220_161439740_v10</t>
  </si>
  <si>
    <t>percute cerque</t>
  </si>
  <si>
    <t>Basler_acA720-520uc__40068684__20240220_162325368_v20</t>
  </si>
  <si>
    <t>Basler_acA720-520uc__40068684__20240220_163316556_v40</t>
  </si>
  <si>
    <t>Basler_acA720-520uc__40068684__20240220_164320377_v30</t>
  </si>
  <si>
    <t>Basler_acA720-520uc__40068684__20240220_165344380_v05_2</t>
  </si>
  <si>
    <t>touche cerque cest pour ca que plus tot</t>
  </si>
  <si>
    <t>Basler_acA720-520uc__40068684__20240220_165456640_extra05</t>
  </si>
  <si>
    <t>meilleur delai ici</t>
  </si>
  <si>
    <t>Basler_acA720-520uc__40068684__20240220_165509769_extra10</t>
  </si>
  <si>
    <t>Basler_acA720-520uc__40068684__20240220_165523318_extra20</t>
  </si>
  <si>
    <t>Basler_acA720-520uc__40068684__20240220_165534048_extra30</t>
  </si>
  <si>
    <t>Basler_acA720-520uc__40068684__20240220_165607408_extra40</t>
  </si>
  <si>
    <t>Basler_acA720-520uc__40068684__20240220_165624748_extra50</t>
  </si>
  <si>
    <t>Basler_acA720-520uc__40068684__20240221_094010994_v10</t>
  </si>
  <si>
    <t>mq patte potentiaiton</t>
  </si>
  <si>
    <t>Basler_acA720-520uc__40068684__20240221_094958678_v20</t>
  </si>
  <si>
    <t>Basler_acA720-520uc__40068684__20240221_100011993_v5</t>
  </si>
  <si>
    <t>Basler_acA720-520uc__40068684__20240221_101038886_v40</t>
  </si>
  <si>
    <t>Basler_acA720-520uc__40068684__20240221_102024409_v30</t>
  </si>
  <si>
    <t>Basler_acA720-520uc__40068684__20240221_103125238_v10</t>
  </si>
  <si>
    <t>Basler_acA720-520uc__40068684__20240221_103223834_extra5</t>
  </si>
  <si>
    <t>Basler_acA720-520uc__40068684__20240221_103255869_extra10</t>
  </si>
  <si>
    <t>Basler_acA720-520uc__40068684__20240221_103314442_extra20</t>
  </si>
  <si>
    <t>Basler_acA720-520uc__40068684__20240221_103328924_extra30</t>
  </si>
  <si>
    <t>Basler_acA720-520uc__40068684__20240221_103341854_extra40</t>
  </si>
  <si>
    <t>Basler_acA720-520uc__40068684__20240221_103355337_extra50</t>
  </si>
  <si>
    <t>Basler_acA720-520uc__40068684__20240221_103408121_extra60</t>
  </si>
  <si>
    <t>Basler_acA720-520uc__40068684__20240221_110234562_v10</t>
  </si>
  <si>
    <t>M2</t>
  </si>
  <si>
    <t>Basler_acA720-520uc__40068684__20240221_111220623_v40</t>
  </si>
  <si>
    <t>Basler_acA720-520uc__40068684__20240221_112234745_v5</t>
  </si>
  <si>
    <t>Basler_acA720-520uc__40068684__20240221_113311235_v20</t>
  </si>
  <si>
    <t>touche sphere</t>
  </si>
  <si>
    <t>Basler_acA720-520uc__40068684__20240221_114315438_v30</t>
  </si>
  <si>
    <t>Basler_acA720-520uc__40068684__20240221_115647338_v10_2</t>
  </si>
  <si>
    <t>un peu marche avant - ambigu</t>
  </si>
  <si>
    <t>Basler_acA720-520uc__40068684__20240221_120130390_extra5</t>
  </si>
  <si>
    <t>Basler_acA720-520uc__40068684__20240221_120152459_extra10</t>
  </si>
  <si>
    <t>Basler_acA720-520uc__40068684__20240221_120209304_extra20</t>
  </si>
  <si>
    <t>Basler_acA720-520uc__40068684__20240221_120221835_extra30</t>
  </si>
  <si>
    <t>Basler_acA720-520uc__40068684__20240221_120235991_extra40</t>
  </si>
  <si>
    <t>Basler_acA720-520uc__40068684__20240221_120249806_extra50</t>
  </si>
  <si>
    <t>Basler_acA720-520uc__40068684__20240221_120306366_extra60</t>
  </si>
  <si>
    <t>Basler_acA720-520uc__40068684__20240221_120322689_extra70</t>
  </si>
  <si>
    <t>Basler_acA720-520uc__40068684__20240221_154442431_v10</t>
  </si>
  <si>
    <t>Basler_acA720-520uc__40068684__20240221_155551847_v5</t>
  </si>
  <si>
    <t>Basler_acA720-520uc__40068684__20240221_160717003_v40</t>
  </si>
  <si>
    <t>Basler_acA720-520uc__40068684__20240221_161738893_v20</t>
  </si>
  <si>
    <t>ambigu 1 ou 0</t>
  </si>
  <si>
    <t>Basler_acA720-520uc__40068684__20240221_163017484_v30</t>
  </si>
  <si>
    <t>Basler_acA720-520uc__40068684__20240221_163956832_v10_2</t>
  </si>
  <si>
    <t>Basler_acA720-520uc__40068684__20240221_164220143_extra5</t>
  </si>
  <si>
    <t>Basler_acA720-520uc__40068684__20240221_164234992_extra10</t>
  </si>
  <si>
    <t>Basler_acA720-520uc__40068684__20240221_164247219_extra20</t>
  </si>
  <si>
    <t>Basler_acA720-520uc__40068684__20240221_164300417_extra30</t>
  </si>
  <si>
    <t>Basler_acA720-520uc__40068684__20240221_164310894_extra40</t>
  </si>
  <si>
    <t>Basler_acA720-520uc__40068684__20240221_164322940_extra50</t>
  </si>
  <si>
    <t>Basler_acA720-520uc__40068684__20240221_164333983_extra60</t>
  </si>
  <si>
    <t>bille chute</t>
  </si>
  <si>
    <t>Basler_acA720-520uc__40068684__20240221_171410644_v40</t>
  </si>
  <si>
    <t>Basler_acA720-520uc__40068684__20240221_172530263_v20</t>
  </si>
  <si>
    <t>duplicates dans bonus</t>
  </si>
  <si>
    <t>Basler_acA720-520uc__40068684__20240221_173535510_v10</t>
  </si>
  <si>
    <t>Basler_acA720-520uc__40068684__20240221_174559753_v05</t>
  </si>
  <si>
    <t>Basler_acA720-520uc__40068684__20240221_175553719_v30</t>
  </si>
  <si>
    <t>Basler_acA720-520uc__40068684__20240221_180616179_v40_2</t>
  </si>
  <si>
    <t>percute</t>
  </si>
  <si>
    <t>Basler_acA720-520uc__40068684__20240221_180940484_0457</t>
  </si>
  <si>
    <t>Basler_acA720-520uc__40068684__20240221_180956187_0186</t>
  </si>
  <si>
    <t>Basler_acA720-520uc__40068684__20240221_181009178_0154</t>
  </si>
  <si>
    <t>Basler_acA720-520uc__40068684__20240221_181024066_0357</t>
  </si>
  <si>
    <t>Basler_acA720-520uc__40068684__20240221_181105392_0072</t>
  </si>
  <si>
    <t>Basler_acA720-520uc__40068684__20240222_095302161_v20</t>
  </si>
  <si>
    <t>abime</t>
  </si>
  <si>
    <t>Basler_acA720-520uc__40068684__20240222_100309513_v5</t>
  </si>
  <si>
    <t>gros delai reponse</t>
  </si>
  <si>
    <t>Basler_acA720-520uc__40068684__20240222_101355258_v40</t>
  </si>
  <si>
    <t>Basler_acA720-520uc__40068684__20240222_102435614_v10</t>
  </si>
  <si>
    <t>reponse plus tot je crois mais pas avant non plus</t>
  </si>
  <si>
    <t>Basler_acA720-520uc__40068684__20240222_103502775_v30</t>
  </si>
  <si>
    <t>Basler_acA720-520uc__40068684__20240222_104618280_v10_2</t>
  </si>
  <si>
    <t>probleme vitesse 2</t>
  </si>
  <si>
    <t>Basler_acA720-520uc__40068684__20240222_104741285_extra5</t>
  </si>
  <si>
    <t>Basler_acA720-520uc__40068684__20240222_104754086_extra10</t>
  </si>
  <si>
    <t>Basler_acA720-520uc__40068684__20240222_104814760_extra20</t>
  </si>
  <si>
    <t>Basler_acA720-520uc__40068684__20240222_104826350_extra30</t>
  </si>
  <si>
    <t>Basler_acA720-520uc__40068684__20240222_104838253_extra40</t>
  </si>
  <si>
    <t>Basler_acA720-520uc__40068684__20240222_104850198_extra50</t>
  </si>
  <si>
    <t>Basler_acA720-520uc__40068684__20240222_112526184_v5</t>
  </si>
  <si>
    <t>patte collee</t>
  </si>
  <si>
    <t>Basler_acA720-520uc__40068684__20240222_113715945_v40</t>
  </si>
  <si>
    <t>Basler_acA720-520uc__40068684__20240222_114716207_v10</t>
  </si>
  <si>
    <t>Basler_acA720-520uc__40068684__20240222_115807972_v20</t>
  </si>
  <si>
    <t>patte en lair</t>
  </si>
  <si>
    <t>Basler_acA720-520uc__40068684__20240222_120830467_v30</t>
  </si>
  <si>
    <t>Basler_acA720-520uc__40068684__20240222_121948162_v5_2</t>
  </si>
  <si>
    <t>Basler_acA720-520uc__40068684__20240222_122151376_extra5</t>
  </si>
  <si>
    <t>Basler_acA720-520uc__40068684__20240222_122204125_extra10</t>
  </si>
  <si>
    <t>Basler_acA720-520uc__40068684__20240222_122216133_extra20</t>
  </si>
  <si>
    <t>Basler_acA720-520uc__40068684__20240222_122248182_extra30</t>
  </si>
  <si>
    <t>Basler_acA720-520uc__40068684__20240222_122300570_extra40</t>
  </si>
  <si>
    <t>Basler_acA720-520uc__40068684__20240222_142316621_v10</t>
  </si>
  <si>
    <t>Basler_acA720-520uc__40068684__20240222_143356873_v40</t>
  </si>
  <si>
    <t>rep tot</t>
  </si>
  <si>
    <t>Basler_acA720-520uc__40068684__20240222_144355829_v20</t>
  </si>
  <si>
    <t>rep tres tot 20frames</t>
  </si>
  <si>
    <t>Basler_acA720-520uc__40068684__20240222_145658028_v5</t>
  </si>
  <si>
    <t>qq ms apres piston</t>
  </si>
  <si>
    <t>Basler_acA720-520uc__40068684__20240222_150626615_v30</t>
  </si>
  <si>
    <t>Basler_acA720-520uc__40068684__20240222_151708470_v10_2</t>
  </si>
  <si>
    <t>Basler_acA720-520uc__40068684__20240222_151754146_extra5</t>
  </si>
  <si>
    <t>Basler_acA720-520uc__40068684__20240222_151805044_extra10</t>
  </si>
  <si>
    <t>Basler_acA720-520uc__40068684__20240222_151817045_extra20</t>
  </si>
  <si>
    <t>Basler_acA720-520uc__40068684__20240222_151828860_extra30</t>
  </si>
  <si>
    <t>Basler_acA720-520uc__40068684__20240222_151841547_extra40</t>
  </si>
  <si>
    <t>Basler_acA720-520uc__40068684__20240222_151853404_extra50</t>
  </si>
  <si>
    <t>Basler_acA720-520uc__40068684__20240222_170546209_v40</t>
  </si>
  <si>
    <t>rien etrange</t>
  </si>
  <si>
    <t>Basler_acA720-520uc__40068684__20240222_171513258_v10</t>
  </si>
  <si>
    <t>rep</t>
  </si>
  <si>
    <t>Basler_acA720-520uc__40068684__20240222_172535245_v5</t>
  </si>
  <si>
    <t>Basler_acA720-520uc__40068684__20240222_173620741_v20</t>
  </si>
  <si>
    <t>Basler_acA720-520uc__40068684__20240222_174629500_v30</t>
  </si>
  <si>
    <t>rien etrange et pas aligne</t>
  </si>
  <si>
    <t>Basler_acA720-520uc__40068684__20240222_175207580_0270</t>
  </si>
  <si>
    <t>pas de repet decrochage</t>
  </si>
  <si>
    <t>Basler_acA720-520uc__40068684__20240222_175220177_0279</t>
  </si>
  <si>
    <t>Basler_acA720-520uc__40068684__20240222_175229483_0276</t>
  </si>
  <si>
    <t>Basler_acA720-520uc__40068684__20240222_175241701_0206</t>
  </si>
  <si>
    <t>Basler_acA720-520uc__40068684__20240222_175253230_0197</t>
  </si>
  <si>
    <t>Basler_acA720-520uc__40068684__20240222_183139229_v5</t>
  </si>
  <si>
    <t>Basler_acA720-520uc__40068684__20240222_184115210_v10</t>
  </si>
  <si>
    <t>ambigu voire 0 rep avant collision je crois</t>
  </si>
  <si>
    <t>Basler_acA720-520uc__40068684__20240222_185226453_v40</t>
  </si>
  <si>
    <t>completement percute</t>
  </si>
  <si>
    <t>Basler_acA720-520uc__40068684__20240222_190216935_v20</t>
  </si>
  <si>
    <t>Basler_acA720-520uc__40068684__20240222_191712449_v30</t>
  </si>
  <si>
    <t>Basler_acA720-520uc__40068684__20240222_193330844_v5_2</t>
  </si>
  <si>
    <t>video iuncomplete</t>
  </si>
  <si>
    <t>Basler_acA720-520uc__40068684__20240222_193430355_extra5</t>
  </si>
  <si>
    <t>Basler_acA720-520uc__40068684__20240222_193443095_extra10</t>
  </si>
  <si>
    <t>Basler_acA720-520uc__40068684__20240222_193455897_extra20</t>
  </si>
  <si>
    <t>Basler_acA720-520uc__40068684__20240222_193507426_extra30</t>
  </si>
  <si>
    <t>Basler_acA720-520uc__40068684__20240222_193523060_extra40</t>
  </si>
  <si>
    <t>Basler_acA720-520uc__40068684__20240223_134628892_v40</t>
  </si>
  <si>
    <t>contact je crois</t>
  </si>
  <si>
    <t>Basler_acA720-520uc__40068684__20240223_135615253_v20</t>
  </si>
  <si>
    <t>Basler_acA720-520uc__40068684__20240223_140619271_v10</t>
  </si>
  <si>
    <t>Basler_acA720-520uc__40068684__20240223_141634564_v5</t>
  </si>
  <si>
    <t>poils touches je crois</t>
  </si>
  <si>
    <t>Basler_acA720-520uc__40068684__20240223_142614346_v30</t>
  </si>
  <si>
    <t>Basler_acA720-520uc__40068684__20240223_143636586_v40</t>
  </si>
  <si>
    <t>Basler_acA720-520uc__40068684__20240223_144025305_extra5</t>
  </si>
  <si>
    <t>Basler_acA720-520uc__40068684__20240223_144036526_extra10</t>
  </si>
  <si>
    <t>Basler_acA720-520uc__40068684__20240223_144049536_extra20</t>
  </si>
  <si>
    <t>Basler_acA720-520uc__40068684__20240223_144109839_extra30</t>
  </si>
  <si>
    <t>Basler_acA720-520uc__40068684__20240223_144207998_extra40</t>
  </si>
  <si>
    <t>Basler_acA720-520uc__40068684__20240223_153706223_v5</t>
  </si>
  <si>
    <t>Basler_acA720-520uc__40068684__20240223_154727639_v20</t>
  </si>
  <si>
    <t>Basler_acA720-520uc__40068684__20240223_155727773_v10</t>
  </si>
  <si>
    <t>Basler_acA720-520uc__40068684__20240223_160751724_v40</t>
  </si>
  <si>
    <t>Basler_acA720-520uc__40068684__20240223_161711622_v30</t>
  </si>
  <si>
    <t>Basler_acA720-520uc__40068684__20240223_162940511_v5_2</t>
  </si>
  <si>
    <t>Basler_acA720-520uc__40068684__20240223_163332682_extra5</t>
  </si>
  <si>
    <t>Basler_acA720-520uc__40068684__20240223_163345137_extra10</t>
  </si>
  <si>
    <t>Basler_acA720-520uc__40068684__20240223_163358814_extra20</t>
  </si>
  <si>
    <t>Basler_acA720-520uc__40068684__20240223_163411388_extra30</t>
  </si>
  <si>
    <t>Basler_acA720-520uc__40068684__20240223_163431939_extra40</t>
  </si>
  <si>
    <t>Basler_acA720-520uc__40068684__20240223_171016238_v10</t>
  </si>
  <si>
    <t>attention pas lampe fin</t>
  </si>
  <si>
    <t>Basler_acA720-520uc__40068684__20240223_172017767_v5</t>
  </si>
  <si>
    <t>rep avant mais ni debut ni fin</t>
  </si>
  <si>
    <t>Basler_acA720-520uc__40068684__20240223_173026646_v20</t>
  </si>
  <si>
    <t>rep bien avant</t>
  </si>
  <si>
    <t>Basler_acA720-520uc__40068684__20240223_174044658_v40</t>
  </si>
  <si>
    <t>delai tres court</t>
  </si>
  <si>
    <t>Basler_acA720-520uc__40068684__20240223_175115654_v30</t>
  </si>
  <si>
    <t>truc avant debut</t>
  </si>
  <si>
    <t>Basler_acA720-520uc__40068684__20240223_180237709_v10_2</t>
  </si>
  <si>
    <t>Basler_acA720-520uc__40068684__20240223_180536166_extra5</t>
  </si>
  <si>
    <t>Basler_acA720-520uc__40068684__20240223_180547937_extra10</t>
  </si>
  <si>
    <t>Basler_acA720-520uc__40068684__20240223_180600761_extra20</t>
  </si>
  <si>
    <t>Basler_acA720-520uc__40068684__20240223_180627730_extra30</t>
  </si>
  <si>
    <t>Basler_acA720-520uc__40068684__20240223_180644368_extra40</t>
  </si>
  <si>
    <t>Basler_acA720-520uc__40068684__20240223_181724204_v40</t>
  </si>
  <si>
    <t>ambigu</t>
  </si>
  <si>
    <t>Basler_acA720-520uc__40068684__20240223_182745517_v10</t>
  </si>
  <si>
    <t>Basler_acA720-520uc__40068684__20240223_183730604_v20</t>
  </si>
  <si>
    <t>reponse tres tot</t>
  </si>
  <si>
    <t>Basler_acA720-520uc__40068684__20240223_184723768_v5</t>
  </si>
  <si>
    <t>Basler_acA720-520uc__40068684__20240223_185721485_v30</t>
  </si>
  <si>
    <t>reponse tres rapide</t>
  </si>
  <si>
    <t>Basler_acA720-520uc__40068684__20240223_190720689_v40_2</t>
  </si>
  <si>
    <t>Basler_acA720-520uc__40068684__20240223_191740523_v10_2</t>
  </si>
  <si>
    <t>Basler_acA720-520uc__40068684__20240223_192619560_v30_2_bonus</t>
  </si>
  <si>
    <t>Basler_acA720-520uc__40068684__20240223_192733004_v40_3_bonus</t>
  </si>
  <si>
    <t>Basler_acA720-520uc__40068684__20240223_193013535_extra5</t>
  </si>
  <si>
    <t>Basler_acA720-520uc__40068684__20240223_193025896_extra10</t>
  </si>
  <si>
    <t>Basler_acA720-520uc__40068684__20240223_193037040_extra20</t>
  </si>
  <si>
    <t>Basler_acA720-520uc__40068684__20240223_193048284_extra30</t>
  </si>
  <si>
    <t>Basler_acA720-520uc__40068684__20240223_193059961_extra40</t>
  </si>
  <si>
    <t>Basler_acA720-520uc__40068684__20240223_193112235_extra50</t>
  </si>
  <si>
    <t>Basler_acA720-520uc__40068684__20240223_193131584_extra70</t>
  </si>
  <si>
    <t>Basler_acA720-520uc__40068684__20240223_193223488_extra100</t>
  </si>
  <si>
    <t>Basler_acA720-520uc__40068684__20240223_200112565_R7v20</t>
  </si>
  <si>
    <t>Basler_acA720-520uc__40068684__20240223_201215322_R7v40</t>
  </si>
  <si>
    <t>Basler_acA720-520uc__40068684__20240223_202304350_R7v5</t>
  </si>
  <si>
    <t>on voit poil bouger</t>
  </si>
  <si>
    <t>Basler_acA720-520uc__40068684__20240223_203422817_R7v10</t>
  </si>
  <si>
    <t>reposne bizarre</t>
  </si>
  <si>
    <t>Basler_acA720-520uc__40068684__20240224_135327465_v5</t>
  </si>
  <si>
    <t>rep a chaque fois quand contact</t>
  </si>
  <si>
    <t>Basler_acA720-520uc__40068684__20240224_140319137_v20</t>
  </si>
  <si>
    <t>on voit bien les poils dans la serie</t>
  </si>
  <si>
    <t>Basler_acA720-520uc__40068684__20240224_141450295_v40</t>
  </si>
  <si>
    <t>soies sur pattes</t>
  </si>
  <si>
    <t>Basler_acA720-520uc__40068684__20240224_142648280_v10</t>
  </si>
  <si>
    <t>Basler_acA720-520uc__40068684__20240224_143623623_v30</t>
  </si>
  <si>
    <t>Basler_acA720-520uc__40068684__20240224_144617517_v5_2</t>
  </si>
  <si>
    <t>Basler_acA720-520uc__40068684__20240224_145028202_extra5</t>
  </si>
  <si>
    <t>Basler_acA720-520uc__40068684__20240224_145039063_extra10</t>
  </si>
  <si>
    <t>Basler_acA720-520uc__40068684__20240224_145050774_extra20</t>
  </si>
  <si>
    <t>Basler_acA720-520uc__40068684__20240224_145108959_extra30</t>
  </si>
  <si>
    <t>Basler_acA720-520uc__40068684__20240224_145123156_extra40</t>
  </si>
  <si>
    <t>Basler_acA720-520uc__40068684__20240224_150417682_v40</t>
  </si>
  <si>
    <t>cerque abime pas de collision theo</t>
  </si>
  <si>
    <t>Basler_acA720-520uc__40068684__20240224_151437220_v10</t>
  </si>
  <si>
    <t>soeis sur pattes</t>
  </si>
  <si>
    <t>Basler_acA720-520uc__40068684__20240224_152444630_v5</t>
  </si>
  <si>
    <t>rien du tout je crois</t>
  </si>
  <si>
    <t>Basler_acA720-520uc__40068684__20240224_153523969_v20</t>
  </si>
  <si>
    <t>on voit poils bouger</t>
  </si>
  <si>
    <t>Basler_acA720-520uc__40068684__20240224_154552184_v30</t>
  </si>
  <si>
    <t>Basler_acA720-520uc__40068684__20240224_155601811_v40_2</t>
  </si>
  <si>
    <t>ambigu rep leg avant je crois</t>
  </si>
  <si>
    <t>Basler_acA720-520uc__40068684__20240224_155902627_xtra5</t>
  </si>
  <si>
    <t>Basler_acA720-520uc__40068684__20240224_155920778_xtra10</t>
  </si>
  <si>
    <t>Basler_acA720-520uc__40068684__20240224_155932071_xtra20</t>
  </si>
  <si>
    <t>Basler_acA720-520uc__40068684__20240224_155943484_xtra30</t>
  </si>
  <si>
    <t>Basler_acA720-520uc__40068684__20240224_155955313_xtra40</t>
  </si>
  <si>
    <t>photos</t>
  </si>
  <si>
    <t>Basler_acA720-520uc__40068684__20240224_160843425_v20</t>
  </si>
  <si>
    <t>tot pas rep claire juste mvt pattes</t>
  </si>
  <si>
    <t>a refaire</t>
  </si>
  <si>
    <t>Basler_acA720-520uc__40068684__20240224_161848345_v5</t>
  </si>
  <si>
    <t>Basler_acA720-520uc__40068684__20240224_162933089_v10</t>
  </si>
  <si>
    <t>cerque touche il semble</t>
  </si>
  <si>
    <t>Basler_acA720-520uc__40068684__20240224_164042379_v40</t>
  </si>
  <si>
    <t>rien fatigue</t>
  </si>
  <si>
    <t>Basler_acA720-520uc__40068684__20240224_165054123_v30</t>
  </si>
  <si>
    <t>pas de lampe</t>
  </si>
  <si>
    <t>KO</t>
  </si>
  <si>
    <t>Basler_acA720-520uc__40068684__20240224_170028463_v20_2</t>
  </si>
  <si>
    <t>Basler_acA720-520uc__40068684__20240224_170240646_xtra30</t>
  </si>
  <si>
    <t>Basler_acA720-520uc__40068684__20240224_170251290_xtra5</t>
  </si>
  <si>
    <t>Basler_acA720-520uc__40068684__20240224_170309442_xtra20</t>
  </si>
  <si>
    <t>Basler_acA720-520uc__40068684__20240224_172011722_v40</t>
  </si>
  <si>
    <t xml:space="preserve">rien </t>
  </si>
  <si>
    <t>bof</t>
  </si>
  <si>
    <t>Basler_acA720-520uc__40068684__20240224_173004566_v20</t>
  </si>
  <si>
    <t>rep tardive</t>
  </si>
  <si>
    <t>Basler_acA720-520uc__40068684__20240224_174030632_v5</t>
  </si>
  <si>
    <t>dur de determiner car bouge beaucoup</t>
  </si>
  <si>
    <t>Basler_acA720-520uc__40068684__20240224_175051281_v10</t>
  </si>
  <si>
    <t>Basler_acA720-520uc__40068684__20240224_180031306_v30</t>
  </si>
  <si>
    <t>Basler_acA720-520uc__40068684__20240224_181042285_v40_2</t>
  </si>
  <si>
    <t>Revoir eventuellement serie</t>
  </si>
  <si>
    <t>Basler_acA720-520uc__40068684__20240224_181326928_x5</t>
  </si>
  <si>
    <t>Basler_acA720-520uc__40068684__20240224_181339729_x10</t>
  </si>
  <si>
    <t>Basler_acA720-520uc__40068684__20240224_181350897_x20</t>
  </si>
  <si>
    <t>Basler_acA720-520uc__40068684__20240224_181401673_x30</t>
  </si>
  <si>
    <t>Basler_acA720-520uc__40068684__20240224_181411517_x40</t>
  </si>
  <si>
    <t>Basler_acA720-520uc__40068684__20240224_182343154_v5</t>
  </si>
  <si>
    <t>ok</t>
  </si>
  <si>
    <t>Basler_acA720-520uc__40068684__20240224_183537540_v10</t>
  </si>
  <si>
    <t>pas le debut ms semble juste manquer deux frames</t>
  </si>
  <si>
    <t>Basler_acA720-520uc__40068684__20240224_184720292_v40</t>
  </si>
  <si>
    <t>Basler_acA720-520uc__40068684__20240224_185829303_v20</t>
  </si>
  <si>
    <t>Basler_acA720-520uc__40068684__20240224_190952795_v30</t>
  </si>
  <si>
    <t>Basler_acA720-520uc__40068684__20240224_191840462_v5_2</t>
  </si>
  <si>
    <t>Basler_acA720-520uc__40068684__20240224_192018269_x5</t>
  </si>
  <si>
    <t>Basler_acA720-520uc__40068684__20240224_192030875_x10</t>
  </si>
  <si>
    <t>Basler_acA720-520uc__40068684__20240224_192048004_x20</t>
  </si>
  <si>
    <t>Basler_acA720-520uc__40068684__20240224_192059986_x30</t>
  </si>
  <si>
    <t>Basler_acA720-520uc__40068684__20240224_192111489_x40</t>
  </si>
  <si>
    <t>Basler_acA720-520uc__40068684__20240224_192126678_x100</t>
  </si>
  <si>
    <t>Basler_acA720-520uc__40068684__20240225_134143685_v40</t>
  </si>
  <si>
    <t>:)</t>
  </si>
  <si>
    <t>Basler_acA720-520uc__40068684__20240225_135304941_v20</t>
  </si>
  <si>
    <t>on voit bien poils dans serie</t>
  </si>
  <si>
    <t>valide mais images pas meilleures preuves</t>
  </si>
  <si>
    <t>Basler_acA720-520uc__40068684__20240225_140330368_v10</t>
  </si>
  <si>
    <t>ambigu on sait aps si cerque touche</t>
  </si>
  <si>
    <t>Basler_acA720-520uc__40068684__20240225_141405363_v5</t>
  </si>
  <si>
    <t>Basler_acA720-520uc__40068684__20240225_142439470_v30</t>
  </si>
  <si>
    <t>Basler_acA720-520uc__40068684__20240225_143533235_v40_2</t>
  </si>
  <si>
    <t>Basler_acA720-520uc__40068684__20240225_143845605_v100</t>
  </si>
  <si>
    <t>TB on voit les poils bouger</t>
  </si>
  <si>
    <t>Basler_acA720-520uc__40068684__20240225_144811052_v70</t>
  </si>
  <si>
    <t>Basler_acA720-520uc__40068684__20240225_144910662_v2</t>
  </si>
  <si>
    <t>Basler_acA720-520uc__40068684__20240225_145122480_x5</t>
  </si>
  <si>
    <t>Basler_acA720-520uc__40068684__20240225_145137161_x10</t>
  </si>
  <si>
    <t>Basler_acA720-520uc__40068684__20240225_145153930_x20</t>
  </si>
  <si>
    <t>Basler_acA720-520uc__40068684__20240225_145205530_x30</t>
  </si>
  <si>
    <t>Basler_acA720-520uc__40068684__20240225_145217855_x40</t>
  </si>
  <si>
    <t>Basler_acA720-520uc__40068684__20240225_145229755_x70</t>
  </si>
  <si>
    <t>Basler_acA720-520uc__40068684__20240225_145242821_x100</t>
  </si>
  <si>
    <t>TB erreur focus mais on voit bien poils</t>
  </si>
  <si>
    <t>Basler_acA720-520uc__40068684__20240225_150145898_v10</t>
  </si>
  <si>
    <t>rien mais on voit bien les poils</t>
  </si>
  <si>
    <t>a refaire idealement</t>
  </si>
  <si>
    <t>Basler_acA720-520uc__40068684__20240225_151248995_v5</t>
  </si>
  <si>
    <t>rien attention fichier un peu court</t>
  </si>
  <si>
    <t>Basler_acA720-520uc__40068684__20240225_152305288_v40</t>
  </si>
  <si>
    <t>se decolle et percussion</t>
  </si>
  <si>
    <t>Basler_acA720-520uc__40068684__20240225_153309984_v20</t>
  </si>
  <si>
    <t>touche</t>
  </si>
  <si>
    <t>Basler_acA720-520uc__40068684__20240225_154304920_v30</t>
  </si>
  <si>
    <t>Basler_acA720-520uc__40068684__20240225_155304701_v10_2</t>
  </si>
  <si>
    <t>Basler_acA720-520uc__40068684__20240225_155515257_x5</t>
  </si>
  <si>
    <t>Basler_acA720-520uc__40068684__20240225_155530105_x10</t>
  </si>
  <si>
    <t>Basler_acA720-520uc__40068684__20240225_155543686_x20</t>
  </si>
  <si>
    <t>Basler_acA720-520uc__40068684__20240225_155554876_x30</t>
  </si>
  <si>
    <t>Basler_acA720-520uc__40068684__20240225_155608455_x40</t>
  </si>
  <si>
    <t>Basler_acA720-520uc__40068684__20240225_155621681_x100</t>
  </si>
  <si>
    <t>Basler_acA720-520uc__40068684__20240225_160231437_v20</t>
  </si>
  <si>
    <t>tt petit peu avant je crois</t>
  </si>
  <si>
    <t>Basler_acA720-520uc__40068684__20240225_161234520_v5</t>
  </si>
  <si>
    <t>pas collision reponse sans contact mais est ce que safe toutefois</t>
  </si>
  <si>
    <t>Basler_acA720-520uc__40068684__20240225_162344726_v10</t>
  </si>
  <si>
    <t>Basler_acA720-520uc__40068684__20240225_163330190_v40</t>
  </si>
  <si>
    <t>pas axe mais rep avant quand meme</t>
  </si>
  <si>
    <t>Basler_acA720-520uc__40068684__20240225_164358369_v30_rep</t>
  </si>
  <si>
    <t>Basler_acA720-520uc__40068684__20240225_165359954_v20_2</t>
  </si>
  <si>
    <t>Basler_acA720-520uc__40068684__20240225_165447068_x5</t>
  </si>
  <si>
    <t>Basler_acA720-520uc__40068684__20240225_165459399_x10</t>
  </si>
  <si>
    <t>Basler_acA720-520uc__40068684__20240225_165513615_x20</t>
  </si>
  <si>
    <t>Basler_acA720-520uc__40068684__20240225_165526357_x30</t>
  </si>
  <si>
    <t>Basler_acA720-520uc__40068684__20240225_165537488_x40</t>
  </si>
  <si>
    <t>Basler_acA720-520uc__40068684__20240225_171227600_v20</t>
  </si>
  <si>
    <t>cerques un peu colles</t>
  </si>
  <si>
    <t>Basler_acA720-520uc__40068684__20240225_172206932_v10</t>
  </si>
  <si>
    <t>export avi</t>
  </si>
  <si>
    <t>Basler_acA720-520uc__40068684__20240225_173209768_v5</t>
  </si>
  <si>
    <t>Basler_acA720-520uc__40068684__20240225_174234611_v40</t>
  </si>
  <si>
    <t>Basler_acA720-520uc__40068684__20240225_175100446_v30</t>
  </si>
  <si>
    <t>Basler_acA720-520uc__40068684__20240225_180225871_v20_2</t>
  </si>
  <si>
    <t>Basler_acA720-520uc__40068684__20240225_180332480_v40tem</t>
  </si>
  <si>
    <t>juste verif reac</t>
  </si>
  <si>
    <t>Basler_acA720-520uc__40068684__20240225_180534507_x5</t>
  </si>
  <si>
    <t>Basler_acA720-520uc__40068684__20240225_180551776_x10</t>
  </si>
  <si>
    <t>Basler_acA720-520uc__40068684__20240225_180607395_x20</t>
  </si>
  <si>
    <t>Basler_acA720-520uc__40068684__20240225_180625960_x30</t>
  </si>
  <si>
    <t>Basler_acA720-520uc__40068684__20240225_180637943_x40</t>
  </si>
  <si>
    <t>Basler_acA720-520uc__40068684__20240225_180658913_x100</t>
  </si>
  <si>
    <t>Basler_acA720-520uc__40068684__20240226_100207805_v5</t>
  </si>
  <si>
    <t>TB pour vision poils</t>
  </si>
  <si>
    <t>Basler_acA720-520uc__40068684__20240226_101247084_v20</t>
  </si>
  <si>
    <t>Basler_acA720-520uc__40068684__20240226_102207989_v10biais</t>
  </si>
  <si>
    <t>en biais mais on voit poils bouger</t>
  </si>
  <si>
    <t>Basler_acA720-520uc__40068684__20240226_103419483_v40</t>
  </si>
  <si>
    <t>un peu en biais mais ok</t>
  </si>
  <si>
    <t>Basler_acA720-520uc__40068684__20240226_104402377_v30</t>
  </si>
  <si>
    <t>Basler_acA720-520uc__40068684__20240226_105617727_v5_2</t>
  </si>
  <si>
    <t>distance plus grande</t>
  </si>
  <si>
    <t>Basler_acA720-520uc__40068684__20240226_110733478_v100</t>
  </si>
  <si>
    <t>TB marrant pour 40 et 100 un poil long a la base bouge</t>
  </si>
  <si>
    <t>Basler_acA720-520uc__40068684__20240226_112057569_v70</t>
  </si>
  <si>
    <t>poils bougent</t>
  </si>
  <si>
    <t>Basler_acA720-520uc__40068684__20240226_112356892_x5</t>
  </si>
  <si>
    <t>Basler_acA720-520uc__40068684__20240226_112409914_x10</t>
  </si>
  <si>
    <t>Basler_acA720-520uc__40068684__20240226_112422811_x20</t>
  </si>
  <si>
    <t>Basler_acA720-520uc__40068684__20240226_112443066_x30</t>
  </si>
  <si>
    <t>Basler_acA720-520uc__40068684__20240226_112455502_x40</t>
  </si>
  <si>
    <t>Basler_acA720-520uc__40068684__20240226_112513469_x100</t>
  </si>
  <si>
    <t>Basler_acA720-520uc__40068684__20240226_113039555_v40</t>
  </si>
  <si>
    <t>rep avant tres subtile</t>
  </si>
  <si>
    <t>Basler_acA720-520uc__40068684__20240226_114313069_v5</t>
  </si>
  <si>
    <t>aucun mvt</t>
  </si>
  <si>
    <t>Basler_acA720-520uc__40068684__20240226_115304389_v10</t>
  </si>
  <si>
    <t>bout cerque touche je crois mvt pattes</t>
  </si>
  <si>
    <t>Basler_acA720-520uc__40068684__20240226_120645685_v20</t>
  </si>
  <si>
    <t>Basler_acA720-520uc__40068684__20240226_121818946_v30</t>
  </si>
  <si>
    <t>TB on voit bien poils bouger pourtant</t>
  </si>
  <si>
    <t>Basler_acA720-520uc__40068684__20240226_122900542_v40_2</t>
  </si>
  <si>
    <t>ambigu pbm decollage colle</t>
  </si>
  <si>
    <t>Basler_acA720-520uc__40068684__20240226_123417206_x5</t>
  </si>
  <si>
    <t>Basler_acA720-520uc__40068684__20240226_123452729_x10</t>
  </si>
  <si>
    <t>Basler_acA720-520uc__40068684__20240226_123504945_x20</t>
  </si>
  <si>
    <t>Basler_acA720-520uc__40068684__20240226_123520402_x30</t>
  </si>
  <si>
    <t>Basler_acA720-520uc__40068684__20240226_123539568_x40</t>
  </si>
  <si>
    <t>Basler_acA720-520uc__40068684__20240226_142919180_v5</t>
  </si>
  <si>
    <t>Basler_acA720-520uc__40068684__20240226_143940112_v20</t>
  </si>
  <si>
    <t>Basler_acA720-520uc__40068684__20240226_144918869_v40</t>
  </si>
  <si>
    <t xml:space="preserve">ambigu </t>
  </si>
  <si>
    <t>Basler_acA720-520uc__40068684__20240226_145930486_v10</t>
  </si>
  <si>
    <t>ambigu je dirais pas rep</t>
  </si>
  <si>
    <t>Basler_acA720-520uc__40068684__20240226_150908788_v30</t>
  </si>
  <si>
    <t>rep bien avant...</t>
  </si>
  <si>
    <t>Basler_acA720-520uc__40068684__20240226_151919327_v5_2</t>
  </si>
  <si>
    <t>Basler_acA720-520uc__40068684__20240226_152032555_x5</t>
  </si>
  <si>
    <t>rep ambigu quasi 1</t>
  </si>
  <si>
    <t>Basler_acA720-520uc__40068684__20240226_152045641_x10</t>
  </si>
  <si>
    <t>Basler_acA720-520uc__40068684__20240226_152058016_x20</t>
  </si>
  <si>
    <t>Basler_acA720-520uc__40068684__20240226_152114082_x30</t>
  </si>
  <si>
    <t>Basler_acA720-520uc__40068684__20240226_152127873_x40</t>
  </si>
  <si>
    <t>Basler_acA720-520uc__40068684__20240226_152141145_x100</t>
  </si>
  <si>
    <t>Basler_acA720-520uc__40068684__20240226_172155558_v20</t>
  </si>
  <si>
    <t>grande fenetre</t>
  </si>
  <si>
    <t>Basler_acA720-520uc__40068684__20240226_173638338_v5</t>
  </si>
  <si>
    <t>Basler_acA720-520uc__40068684__20240226_174736628_v10</t>
  </si>
  <si>
    <t>Basler_acA720-520uc__40068684__20240226_175718592_v40</t>
  </si>
  <si>
    <t>Basler_acA720-520uc__40068684__20240226_180741619_v30</t>
  </si>
  <si>
    <t>Basler_acA720-520uc__40068684__20240227_103241298_v40</t>
  </si>
  <si>
    <t>Basler_acA720-520uc__40068684__20240227_104246353_v5</t>
  </si>
  <si>
    <t>Basler_acA720-520uc__40068684__20240227_105306755_v10</t>
  </si>
  <si>
    <t>Basler_acA720-520uc__40068684__20240227_110354073_v20</t>
  </si>
  <si>
    <t>Basler_acA720-520uc__40068684__20240227_111340430_v30</t>
  </si>
  <si>
    <t>Basler_acA720-520uc__40068684__20240227_112516477_v402</t>
  </si>
  <si>
    <t>Basler_acA720-520uc__40068684__20240227_112846047_v10</t>
  </si>
  <si>
    <t>collage bof</t>
  </si>
  <si>
    <t>Basler_acA720-520uc__40068684__20240227_113854274_v5</t>
  </si>
  <si>
    <t>Basler_acA720-520uc__40068684__20240227_114902384_v20</t>
  </si>
  <si>
    <t>Basler_acA720-520uc__40068684__20240227_115910691_v40</t>
  </si>
  <si>
    <t>Basler_acA720-520uc__40068684__20240227_120941294_v30</t>
  </si>
  <si>
    <t>Basler_acA720-520uc__40068684__20240227_121925828_v10_2</t>
  </si>
  <si>
    <t>Basler_acA720-520uc__40068684__20240227_123207030_v100</t>
  </si>
  <si>
    <t>Basler_acA720-520uc__40068684__20240227_142231243_v5</t>
  </si>
  <si>
    <t>Basler_acA720-520uc__40068684__20240227_143229210_v10</t>
  </si>
  <si>
    <t>Basler_acA720-520uc__40068684__20240227_144450857_v40</t>
  </si>
  <si>
    <t>tard, rajout colle</t>
  </si>
  <si>
    <t>Basler_acA720-520uc__40068684__20240227_145424548_20</t>
  </si>
  <si>
    <t>Basler_acA720-520uc__40068684__20240227_150543661_v30</t>
  </si>
  <si>
    <t>Basler_acA720-520uc__40068684__20240227_151749569_v5_2</t>
  </si>
  <si>
    <t>Basler_acA720-520uc__40068684__20240227_153205163_v100</t>
  </si>
  <si>
    <t>Basler_acA720-520uc__40068684__20240227_153930657_v40</t>
  </si>
  <si>
    <t>Basler_acA720-520uc__40068684__20240227_155007457_v20</t>
  </si>
  <si>
    <t>Basler_acA720-520uc__40068684__20240227_155947872_v5</t>
  </si>
  <si>
    <t>Basler_acA720-520uc__40068684__20240227_161024155_v10</t>
  </si>
  <si>
    <t>pas contact mais pbm trop tard</t>
  </si>
  <si>
    <t>Basler_acA720-520uc__40068684__20240227_162035135_v30</t>
  </si>
  <si>
    <t>Basler_acA720-520uc__40068684__20240227_163128483_v40_2</t>
  </si>
  <si>
    <t>bille tombe et en biais</t>
  </si>
  <si>
    <t>Basler_acA720-520uc__40068684__20240227_164148615_v100</t>
  </si>
  <si>
    <t>Basler_acA720-520uc__40068684__20240227_164759046_v5</t>
  </si>
  <si>
    <t>Basler_acA720-520uc__40068684__20240227_165832142_v10</t>
  </si>
  <si>
    <t>Basler_acA720-520uc__40068684__20240227_170830970_v20</t>
  </si>
  <si>
    <t>ambigu quasi 0</t>
  </si>
  <si>
    <t>Basler_acA720-520uc__40068684__20240227_172008294_v40</t>
  </si>
  <si>
    <t>Basler_acA720-520uc__40068684__20240227_173241510_v30</t>
  </si>
  <si>
    <t>Basler_acA720-520uc__40068684__20240227_174203579_v5_2</t>
  </si>
  <si>
    <t>Basler_acA720-520uc__40068684__20240227_175258059_v2</t>
  </si>
  <si>
    <t>Basler_acA720-520uc__40068684__20240227_175450840_face20</t>
  </si>
  <si>
    <t>Basler_acA720-520uc__40068684__20240227_175507574_face40</t>
  </si>
  <si>
    <t>Basler_acA720-520uc__40068684__20240227_175534892_face5</t>
  </si>
  <si>
    <t>Basler_acA720-520uc__40068684__20240227_175551048_face100</t>
  </si>
  <si>
    <t>Basler_acA720-520uc__40068684__20240227_181048323_v5</t>
  </si>
  <si>
    <t>Basler_acA720-520uc__40068684__20240227_182022533_v40</t>
  </si>
  <si>
    <t>Basler_acA720-520uc__40068684__20240227_183019052_v10</t>
  </si>
  <si>
    <t>Basler_acA720-520uc__40068684__20240227_184023479_v20</t>
  </si>
  <si>
    <t>Basler_acA720-520uc__40068684__20240227_185124928_v30</t>
  </si>
  <si>
    <t>Basler_acA720-520uc__40068684__20240227_190100499_v5_2</t>
  </si>
  <si>
    <t>Basler_acA720-520uc__40068684__20240228_141845639_v40</t>
  </si>
  <si>
    <t>Basler_acA720-520uc__40068684__20240228_142918222_v10_mod</t>
  </si>
  <si>
    <t>MOD</t>
  </si>
  <si>
    <t>Basler_acA720-520uc__40068684__20240228_144114699_v5</t>
  </si>
  <si>
    <t>Basler_acA720-520uc__40068684__20240228_145045594_v20_mod</t>
  </si>
  <si>
    <t>Basler_acA720-520uc__40068684__20240228_150116065_v30</t>
  </si>
  <si>
    <t>Basler_acA720-520uc__40068684__20240228_151131615_v40_2</t>
  </si>
  <si>
    <t>Basler_acA720-520uc__40068684__20240228_152112974_v100</t>
  </si>
  <si>
    <t>Basler_acA720-520uc__40068684__20240228_153527244_v10</t>
  </si>
  <si>
    <t>Basler_acA720-520uc__40068684__20240228_154502819_v40</t>
  </si>
  <si>
    <t>Basler_acA720-520uc__40068684__20240228_155600822_v5</t>
  </si>
  <si>
    <t>Basler_acA720-520uc__40068684__20240228_160550404_v20</t>
  </si>
  <si>
    <t>Basler_acA720-520uc__40068684__20240228_161535128_v30</t>
  </si>
  <si>
    <t>Basler_acA720-520uc__40068684__20240228_162542875_v10_2</t>
  </si>
  <si>
    <t>Basler_acA720-520uc__40068684__20240228_163500605_v100</t>
  </si>
  <si>
    <t>Basler_acA720-520uc__40068684__20240228_164016818_v10</t>
  </si>
  <si>
    <t>decolle reponse tres tard</t>
  </si>
  <si>
    <t>Basler_acA720-520uc__40068684__20240228_165008400_v5</t>
  </si>
  <si>
    <t>Basler_acA720-520uc__40068684__20240228_165918669_v20</t>
  </si>
  <si>
    <t>Basler_acA720-520uc__40068684__20240228_170943927_v40</t>
  </si>
  <si>
    <t>Basler_acA720-520uc__40068684__20240228_171918387_v30</t>
  </si>
  <si>
    <t>Basler_acA720-520uc__40068684__20240228_172926240_v10_2</t>
  </si>
  <si>
    <t>Basler_acA720-520uc__40068684__20240228_173522772_v20</t>
  </si>
  <si>
    <t>Basler_acA720-520uc__40068684__20240228_174810971_v10</t>
  </si>
  <si>
    <t>Basler_acA720-520uc__40068684__20240228_180400500_v5</t>
  </si>
  <si>
    <t>Basler_acA720-520uc__40068684__20240228_181439952_v40</t>
  </si>
  <si>
    <t>Basler_acA720-520uc__40068684__20240228_182421366_v30</t>
  </si>
  <si>
    <t>Basler_acA720-520uc__40068684__20240228_183449119_v20_2</t>
  </si>
  <si>
    <t>jouable pour seuik pas touche</t>
  </si>
  <si>
    <t>Basler_acA720-520uc__40068684__20240229_143448071_v40</t>
  </si>
  <si>
    <t>Basler_acA720-520uc__40068684__20240229_144932851_v10</t>
  </si>
  <si>
    <t>peut etre safe pas sur ambigu</t>
  </si>
  <si>
    <t>Basler_acA720-520uc__40068684__20240229_145914494_v20</t>
  </si>
  <si>
    <t>Basler_acA720-520uc__40068684__20240229_151127535_v5</t>
  </si>
  <si>
    <t>rep assez tot ambigu</t>
  </si>
  <si>
    <t>Basler_acA720-520uc__40068684__20240229_152142867_v30</t>
  </si>
  <si>
    <t>Basler_acA720-520uc__40068684__20240229_153555358_v40_2</t>
  </si>
  <si>
    <t>Basler_acA720-520uc__40068684__20240229_155236907_v10</t>
  </si>
  <si>
    <t>lum inverse</t>
  </si>
  <si>
    <t>Basler_acA720-520uc__40068684__20240229_160006380_v20</t>
  </si>
  <si>
    <t>Basler_acA720-520uc__40068684__20240229_160938217_v40</t>
  </si>
  <si>
    <t>Basler_acA720-520uc__40068684__20240229_162205349_v5</t>
  </si>
  <si>
    <t>Basler_acA720-520uc__40068684__20240229_163117049_v30</t>
  </si>
  <si>
    <t>un peu en biais</t>
  </si>
  <si>
    <t>Basler_acA720-520uc__40068684__20240229_164550693_v10_2</t>
  </si>
  <si>
    <t>rep forte avt je crois</t>
  </si>
  <si>
    <t>Basler_acA720-520uc__40068684__20240301_135012299_v5</t>
  </si>
  <si>
    <t>prep avant mais pas sur</t>
  </si>
  <si>
    <t>Basler_acA720-520uc__40068684__20240301_140148310_v20</t>
  </si>
  <si>
    <t>Basler_acA720-520uc__40068684__20240301_141143021_v10</t>
  </si>
  <si>
    <t>Basler_acA720-520uc__40068684__20240301_142431093_v40</t>
  </si>
  <si>
    <t>Basler_acA720-520uc__40068684__20240301_143536744_v30</t>
  </si>
  <si>
    <t>Basler_acA720-520uc__40068684__20240301_144656709_v5_2</t>
  </si>
  <si>
    <t>Basler_acA720-520uc__40068684__20240301_145517880_face20</t>
  </si>
  <si>
    <t>Basler_acA720-520uc__40068684__20240301_145700199_cote20</t>
  </si>
  <si>
    <t>Basler_acA720-520uc__40068684__20240301_145719502_cote1000</t>
  </si>
  <si>
    <t>Basler_acA720-520uc__40068684__20240301_151539920_v20</t>
  </si>
  <si>
    <t>Basler_acA720-520uc__40068684__20240301_152653465_v10</t>
  </si>
  <si>
    <t>Basler_acA720-520uc__40068684__20240301_153704730_v40</t>
  </si>
  <si>
    <t xml:space="preserve">depend def de safe </t>
  </si>
  <si>
    <t>Basler_acA720-520uc__40068684__20240301_154744367_v5</t>
  </si>
  <si>
    <t>Basler_acA720-520uc__40068684__20240301_155712966_v30</t>
  </si>
  <si>
    <t>Basler_acA720-520uc__40068684__20240301_160752704_v20</t>
  </si>
  <si>
    <t>Basler_acA720-520uc__40068684__20240301_161139547_v100</t>
  </si>
  <si>
    <t>Basler_acA720-520uc__40068684__20240301_163435226_v5</t>
  </si>
  <si>
    <t>Basler_acA720-520uc__40068684__20240301_164413321_v40</t>
  </si>
  <si>
    <t>Basler_acA720-520uc__40068684__20240301_165500146_v10</t>
  </si>
  <si>
    <t>Basler_acA720-520uc__40068684__20240301_170519326_v20</t>
  </si>
  <si>
    <t>Basler_acA720-520uc__40068684__20240301_171540485_v30</t>
  </si>
  <si>
    <t>Basler_acA720-520uc__40068684__20240301_173038165_v5_2</t>
  </si>
  <si>
    <t>rep mais plus tard</t>
  </si>
  <si>
    <t>Basler_acA720-520uc__40068684__20240301_180923193_v20</t>
  </si>
  <si>
    <t>bille hors champ debut pas vrai mvt</t>
  </si>
  <si>
    <t>Basler_acA720-520uc__40068684__20240301_181927100_v40</t>
  </si>
  <si>
    <t>pas vrai mvt</t>
  </si>
  <si>
    <t>Basler_acA720-520uc__40068684__20240301_183044484_v5</t>
  </si>
  <si>
    <t>Basler_acA720-520uc__40068684__20240301_184033504_v10</t>
  </si>
  <si>
    <t>Basler_acA720-520uc__40068684__20240301_185043440_v30</t>
  </si>
  <si>
    <t>Basler_acA720-520uc__40068684__20240301_190128003_v20</t>
  </si>
  <si>
    <t>Basler_acA720-520uc__40068684__20240301_190226796_v100</t>
  </si>
  <si>
    <t>Basler_acA720-520uc__40068684__20240301_190314024_face20</t>
  </si>
  <si>
    <t>Basler_acA720-520uc__40068684__20240301_190333945_face100</t>
  </si>
  <si>
    <t>Basler_acA720-520uc__40068684__20240302_152633059_v5</t>
  </si>
  <si>
    <t>Basler_acA720-520uc__40068684__20240302_153702340_v40</t>
  </si>
  <si>
    <t>Basler_acA720-520uc__40068684__20240302_154752402_v20</t>
  </si>
  <si>
    <t>Basler_acA720-520uc__40068684__20240302_155647474_v10</t>
  </si>
  <si>
    <t>Basler_acA720-520uc__40068684__20240302_160653082_v30</t>
  </si>
  <si>
    <t>Basler_acA720-520uc__40068684__20240302_161940939_v5_2</t>
  </si>
  <si>
    <t>Basler_acA720-520uc__40068684__20240302_163059297_v100</t>
  </si>
  <si>
    <t>tard</t>
  </si>
  <si>
    <t>Basler_acA720-520uc__40068684__20240302_164055225_v20</t>
  </si>
  <si>
    <t>tard et ambigu</t>
  </si>
  <si>
    <t>Basler_acA720-520uc__40068684__20240302_165113884_v40</t>
  </si>
  <si>
    <t>Basler_acA720-520uc__40068684__20240302_170504626_v5</t>
  </si>
  <si>
    <t>quasi touche</t>
  </si>
  <si>
    <t>Basler_acA720-520uc__40068684__20240302_171703505_v10_2_plustard</t>
  </si>
  <si>
    <t>Basler_acA720-520uc__40068684__20240302_172802666_v30_plustard</t>
  </si>
  <si>
    <t>57 ou avant</t>
  </si>
  <si>
    <t>Basler_acA720-520uc__40068684__20240302_173804005_v20_2_plustar</t>
  </si>
  <si>
    <t>tres ambigu aucun vrai mouvement de fuite</t>
  </si>
  <si>
    <t>Basler_acA720-520uc__40068684__20240302_174903793_v100</t>
  </si>
  <si>
    <t>fatigue</t>
  </si>
  <si>
    <t>Basler_acA720-520uc__40068684__20240302_175008596_ctrl20</t>
  </si>
  <si>
    <t>Basler_acA720-520uc__40068684__20240302_175338213_R15v20</t>
  </si>
  <si>
    <t>quasi R</t>
  </si>
  <si>
    <t>Basler_acA720-520uc__40068684__20240302_175415327_R15v40</t>
  </si>
  <si>
    <t>Basler_acA720-520uc__40068684__20240302_184026703_v10</t>
  </si>
  <si>
    <t>toute rep en retard</t>
  </si>
  <si>
    <t>Basler_acA720-520uc__40068684__20240302_185025452_v20</t>
  </si>
  <si>
    <t>bof partout</t>
  </si>
  <si>
    <t>Basler_acA720-520uc__40068684__20240302_190018013_v40</t>
  </si>
  <si>
    <t>Basler_acA720-520uc__40068684__20240302_191032429_v5</t>
  </si>
  <si>
    <t>marche avant</t>
  </si>
  <si>
    <t>Basler_acA720-520uc__40068684__20240302_192044268_v30</t>
  </si>
  <si>
    <t>Basler_acA720-520uc__40068684__20240302_193031126_v10_2</t>
  </si>
  <si>
    <t>Basler_acA720-520uc__40068684__20240302_194048466_v100</t>
  </si>
  <si>
    <t>Basler_acA720-520uc__40068684__20240303_145410593_v20</t>
  </si>
  <si>
    <t>pas de rep trop tot manip pt etre</t>
  </si>
  <si>
    <t>Basler_acA720-520uc__40068684__20240303_150550701_v40</t>
  </si>
  <si>
    <t>Basler_acA720-520uc__40068684__20240303_151518069_v5</t>
  </si>
  <si>
    <t>Basler_acA720-520uc__40068684__20240303_152556632_v10</t>
  </si>
  <si>
    <t>Basler_acA720-520uc__40068684__20240303_153546119_v30</t>
  </si>
  <si>
    <t>Basler_acA720-520uc__40068684__20240303_154548915_v20</t>
  </si>
  <si>
    <t>Basler_acA720-520uc__40068684__20240303_155519223_v100</t>
  </si>
  <si>
    <t>Basler_acA720-520uc__40068684__20240303_155545989_rec</t>
  </si>
  <si>
    <t>Basler_acA720-520uc__40068684__20240303_155746609_v20test</t>
  </si>
  <si>
    <t>Basler_acA720-520uc__40068684__20240303_155848917_ctrl20</t>
  </si>
  <si>
    <t>Basler_acA720-520uc__40068684__20240303_160058414_ctrl</t>
  </si>
  <si>
    <t>Basler_acA720-520uc__40068684__20240303_160338078_v20FACE</t>
  </si>
  <si>
    <t>Basler_acA720-520uc__40068684__20240303_161531037_v20</t>
  </si>
  <si>
    <t>Basler_acA720-520uc__40068684__20240303_162531930_v10</t>
  </si>
  <si>
    <t>Basler_acA720-520uc__40068684__20240303_163519071_v5</t>
  </si>
  <si>
    <t>marche tt le long</t>
  </si>
  <si>
    <t>Basler_acA720-520uc__40068684__20240303_164611672_v40</t>
  </si>
  <si>
    <t>Basler_acA720-520uc__40068684__20240303_165613021_v30</t>
  </si>
  <si>
    <t>frame 52 ou avant rplc patte</t>
  </si>
  <si>
    <t>Basler_acA720-520uc__40068684__20240303_170631730_v20_2</t>
  </si>
  <si>
    <t>Basler_acA720-520uc__40068684__20240303_171647134_v100</t>
  </si>
  <si>
    <t>Basler_acA720-520uc__40068684__20240303_171806135_ctrl20</t>
  </si>
  <si>
    <t>Basler_acA720-520uc__40068684__20240303_171940243_ctrl40</t>
  </si>
  <si>
    <t>Basler_acA720-520uc__40068684__20240304_140939628_v20</t>
  </si>
  <si>
    <t>chgt setup deux vues</t>
  </si>
  <si>
    <t>Basler_acA720-520uc__40068684__20240304_141933766_v40</t>
  </si>
  <si>
    <t>a voir selon def de safe sinon 1</t>
  </si>
  <si>
    <t>Basler_acA720-520uc__40068684__20240304_143226349_v10</t>
  </si>
  <si>
    <t>Basler_acA720-520uc__40068684__20240304_144544226_v5</t>
  </si>
  <si>
    <t>Basler_acA720-520uc__40068684__20240304_145643704_v30</t>
  </si>
  <si>
    <t>rep delayed</t>
  </si>
  <si>
    <t>Basler_acA720-520uc__40068684__20240304_150642528_v20_2</t>
  </si>
  <si>
    <t>Basler_acA720-520uc__40068684__20240304_150727785_v100</t>
  </si>
  <si>
    <t>a voir selon def de safe sinon 1 rep delayed je crois</t>
  </si>
  <si>
    <t>Basler_acA720-520uc__40068684__20240304_150828101_ctrl20</t>
  </si>
  <si>
    <t>Basler_acA720-520uc__40068684__20240304_151802757_v5</t>
  </si>
  <si>
    <t>Basler_acA720-520uc__40068684__20240304_152822251_v40</t>
  </si>
  <si>
    <t>Basler_acA720-520uc__40068684__20240304_153840980_v20</t>
  </si>
  <si>
    <t>pas safe je crois</t>
  </si>
  <si>
    <t>Basler_acA720-520uc__40068684__20240304_154824828_v10_alt</t>
  </si>
  <si>
    <t>touche je crois</t>
  </si>
  <si>
    <t>Basler_acA720-520uc__40068684__20240304_155838037_v30</t>
  </si>
  <si>
    <t>Basler_acA720-520uc__40068684__20240304_161319947_v5_2</t>
  </si>
  <si>
    <t>Basler_acA720-520uc__40068684__20240304_161527736_ctrl20</t>
  </si>
  <si>
    <t>Basler_acA720-520uc__40068684__20240304_184607299_v20</t>
  </si>
  <si>
    <t>Basler_acA720-520uc__40068684__20240304_185628375_v5</t>
  </si>
  <si>
    <t>mvt pate bien avant</t>
  </si>
  <si>
    <t>Basler_acA720-520uc__40068684__20240304_183644217_v10</t>
  </si>
  <si>
    <t>tremblement patte</t>
  </si>
  <si>
    <t>Basler_acA720-520uc__40068684__20240304_190641644_v40</t>
  </si>
  <si>
    <t>a voir selon defintion safe</t>
  </si>
  <si>
    <t>Basler_acA720-520uc__40068684__20240304_191611987_v30</t>
  </si>
  <si>
    <t>mvt patte a 52 a voir</t>
  </si>
  <si>
    <t>Basler_acA720-520uc__40068684__20240304_192654639_v20_2</t>
  </si>
  <si>
    <t>Basler_acA720-520uc__40068684__20240305_155014212_v10</t>
  </si>
  <si>
    <t>court</t>
  </si>
  <si>
    <t>Basler_acA720-520uc__40068684__20240305_160034448_v40</t>
  </si>
  <si>
    <t>Basler_acA720-520uc__40068684__20240305_161044196_v5</t>
  </si>
  <si>
    <t>Basler_acA720-520uc__40068684__20240305_162519883_v20</t>
  </si>
  <si>
    <t>recolage</t>
  </si>
  <si>
    <t>Basler_acA720-520uc__40068684__20240305_163529224_v30</t>
  </si>
  <si>
    <t>pas sur rep</t>
  </si>
  <si>
    <t>Basler_acA720-520uc__40068684__20240305_164721943_v10_2</t>
  </si>
  <si>
    <t>Basler_acA720-520uc__40068684__20240305_165339564_face20</t>
  </si>
  <si>
    <t>Basler_acA720-520uc__40068684__20240306_112741772_v20</t>
  </si>
  <si>
    <t>Basler_acA720-520uc__40068684__20240306_113624095_v40</t>
  </si>
  <si>
    <t>Basler_acA720-520uc__40068684__20240306_114722237_v10</t>
  </si>
  <si>
    <t>Basler_acA720-520uc__40068684__20240306_115858884_v5</t>
  </si>
  <si>
    <t>pas safe pas sur</t>
  </si>
  <si>
    <t>Basler_acA720-520uc__40068684__20240306_120850847_v30</t>
  </si>
  <si>
    <t>Basler_acA720-520uc__40068684__20240306_121843156_v20_2</t>
  </si>
  <si>
    <t>Basler_acA720-520uc__40068684__20240306_122137048_ctrl20</t>
  </si>
  <si>
    <t>Basler_acA720-520uc__40068684__20240306_140154184_v40</t>
  </si>
  <si>
    <t>safe pas sur chgt miroir</t>
  </si>
  <si>
    <t>Basler_acA720-520uc__40068684__20240306_141145971_v5</t>
  </si>
  <si>
    <t>Basler_acA720-520uc__40068684__20240306_142345942_v10</t>
  </si>
  <si>
    <t>Basler_acA720-520uc__40068684__20240306_143340968_v20</t>
  </si>
  <si>
    <t>Basler_acA720-520uc__40068684__20240306_144423302_v30</t>
  </si>
  <si>
    <t>Basler_acA720-520uc__40068684__20240306_145511993_v40_2</t>
  </si>
  <si>
    <t>Basler_acA720-520uc__40068684__20240306_150404039_v100</t>
  </si>
  <si>
    <t>Basler_acA720-520uc__40068684__20240306_150527724_ctrl20</t>
  </si>
  <si>
    <t>Basler_acA720-520uc__40068684__20240306_152648766_v10</t>
  </si>
  <si>
    <t>Basler_acA720-520uc__40068684__20240306_153640939_v5</t>
  </si>
  <si>
    <t>safe pas sur</t>
  </si>
  <si>
    <t>Basler_acA720-520uc__40068684__20240306_154611844_v20</t>
  </si>
  <si>
    <t>Basler_acA720-520uc__40068684__20240306_155628000_v40</t>
  </si>
  <si>
    <t>Basler_acA720-520uc__40068684__20240306_160627343_v30</t>
  </si>
  <si>
    <t>Basler_acA720-520uc__40068684__20240306_161854249_v10_2</t>
  </si>
  <si>
    <t>ctrl202</t>
  </si>
  <si>
    <t>Basler_acA720-520uc__40068684__20240306_171243451_v5</t>
  </si>
  <si>
    <t>Basler_acA720-520uc__40068684__20240306_172514702_v40</t>
  </si>
  <si>
    <t>Basler_acA720-520uc__40068684__20240306_173334121_v20</t>
  </si>
  <si>
    <t>Basler_acA720-520uc__40068684__20240306_174408801_v10</t>
  </si>
  <si>
    <t>Basler_acA720-520uc__40068684__20240306_175017580_v30</t>
  </si>
  <si>
    <t>Basler_acA720-520uc__40068684__20240306_175629468_v5_2</t>
  </si>
  <si>
    <t>Basler_acA720-520uc__40068684__20240307_171115287_v40</t>
  </si>
  <si>
    <t>tres tot</t>
  </si>
  <si>
    <t>Basler_acA720-520uc__40068684__20240307_172206791_v20</t>
  </si>
  <si>
    <t>Basler_acA720-520uc__40068684__20240307_173434224_v5</t>
  </si>
  <si>
    <t>Basler_acA720-520uc__40068684__20240307_174446654_v10</t>
  </si>
  <si>
    <t>ambiguite mvt avant</t>
  </si>
  <si>
    <t>Basler_acA720-520uc__40068684__20240307_175548699_v30</t>
  </si>
  <si>
    <t>Basler_acA720-520uc__40068684__20240307_180722023_v40_2</t>
  </si>
  <si>
    <t>Basler_acA720-520uc__40068684__20240307_181905986_v100</t>
  </si>
  <si>
    <t>Basler_acA720-520uc__40068684__20240307_181923727_ctrl20</t>
  </si>
  <si>
    <t>Basler_acA720-520uc__40068684__20240308_152306458_v5</t>
  </si>
  <si>
    <t>Basler_acA720-520uc__40068684__20240308_153313765_v20</t>
  </si>
  <si>
    <t>Basler_acA720-520uc__40068684__20240308_154332284_v40</t>
  </si>
  <si>
    <t>Basler_acA720-520uc__40068684__20240308_155900948_v10</t>
  </si>
  <si>
    <t>Basler_acA720-520uc__40068684__20240308_160952015_v30</t>
  </si>
  <si>
    <t>Basler_acA720-520uc__40068684__20240308_161954401_v5_2</t>
  </si>
  <si>
    <t>Basler_acA720-520uc__40068684__20240308_162015074_ctrl20</t>
  </si>
  <si>
    <t>Basler_acA720-520uc__40068684__20240311_114757265_v40</t>
  </si>
  <si>
    <t>Basler_acA720-520uc__40068684__20240311_115709737_v5</t>
  </si>
  <si>
    <t>Basler_acA720-520uc__40068684__20240311_120923433_v20</t>
  </si>
  <si>
    <t>Basler_acA720-520uc__40068684__20240311_122154427_v10</t>
  </si>
  <si>
    <t>Basler_acA720-520uc__40068684__20240311_123252466_v30</t>
  </si>
  <si>
    <t>Basler_acA720-520uc__40068684__20240311_124238499_v40_2</t>
  </si>
  <si>
    <t>Basler_acA720-520uc__40068684__20240311_124427762_ctrl20</t>
  </si>
  <si>
    <t>Basler_acA720-520uc__40068684__20240311_140731243_v40</t>
  </si>
  <si>
    <t>Basler_acA720-520uc__40068684__20240311_141813434_v10</t>
  </si>
  <si>
    <t>Basler_acA720-520uc__40068684__20240311_142930771_v20</t>
  </si>
  <si>
    <t>Basler_acA720-520uc__40068684__20240311_144010708_v5</t>
  </si>
  <si>
    <t>Basler_acA720-520uc__40068684__20240311_144942694_v30</t>
  </si>
  <si>
    <t>Basler_acA720-520uc__40068684__20240311_150049148_v40_2</t>
  </si>
  <si>
    <t>Basler_acA720-520uc__40068684__20240311_152454789_v20</t>
  </si>
  <si>
    <t>Basler_acA720-520uc__40068684__20240311_153524241_v10</t>
  </si>
  <si>
    <t>Basler_acA720-520uc__40068684__20240311_154848729_v40</t>
  </si>
  <si>
    <t>Basler_acA720-520uc__40068684__20240311_160023511_v5</t>
  </si>
  <si>
    <t>bof un peu loin</t>
  </si>
  <si>
    <t>Basler_acA720-520uc__40068684__20240311_161320525_v30</t>
  </si>
  <si>
    <t>bien touche</t>
  </si>
  <si>
    <t>Basler_acA720-520uc__40068684__20240311_162336375_v20_2</t>
  </si>
  <si>
    <t>PLUS TARD</t>
  </si>
  <si>
    <t>Basler_acA720-520uc__40068684__20240311_162956993_ctrl20</t>
  </si>
  <si>
    <t>Basler_acA720-520uc__40068684__20240312_115556659_v10</t>
  </si>
  <si>
    <t>Basler_acA720-520uc__40068684__20240312_120544687_v40</t>
  </si>
  <si>
    <t>cerque touche</t>
  </si>
  <si>
    <t>Basler_acA720-520uc__40068684__20240312_121638108_v20</t>
  </si>
  <si>
    <t>pas touche mais serait touche si plus grosse distance</t>
  </si>
  <si>
    <t>Basler_acA720-520uc__40068684__20240312_122904029_v5</t>
  </si>
  <si>
    <t>Basler_acA720-520uc__40068684__20240312_124004690_v30</t>
  </si>
  <si>
    <t>avant</t>
  </si>
  <si>
    <t>Basler_acA720-520uc__40068684__20240312_125106468_v10_2</t>
  </si>
  <si>
    <t>Basler_acA720-520uc__40068684__20240312_125255022_ctrl20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</si>
</sst>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Aptos Narrow"/>
      <family val="2"/>
      <charset val="1"/>
    </font>
    <font>
      <sz val="11"/>
      <color rgb="FF000000"/>
      <name val="Arial"/>
      <charset val="1"/>
    </font>
    <font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F2CFEE"/>
        <bgColor rgb="FFFAE3D6"/>
      </patternFill>
    </fill>
    <fill>
      <patternFill patternType="solid">
        <fgColor rgb="FFFAE3D6"/>
        <bgColor rgb="FFF2CFE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6C7AD"/>
        <bgColor rgb="FFF2CFEE"/>
      </patternFill>
    </fill>
    <fill>
      <patternFill patternType="solid">
        <fgColor rgb="FFE87331"/>
        <b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readingOrder="1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3" borderId="0" xfId="0" applyFont="1" applyFill="1" applyAlignment="1">
      <alignment readingOrder="1"/>
    </xf>
    <xf numFmtId="0" fontId="1" fillId="3" borderId="0" xfId="0" applyFont="1" applyFill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2" fillId="4" borderId="0" xfId="0" applyFont="1" applyFill="1" applyAlignment="1">
      <alignment wrapText="1"/>
    </xf>
    <xf numFmtId="0" fontId="1" fillId="5" borderId="0" xfId="0" applyFont="1" applyFill="1" applyAlignment="1">
      <alignment readingOrder="1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 applyAlignment="1">
      <alignment readingOrder="1"/>
    </xf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3D6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7AD"/>
      <rgbColor rgb="FF3366FF"/>
      <rgbColor rgb="FF33CCCC"/>
      <rgbColor rgb="FF99CC00"/>
      <rgbColor rgb="FFFFCC00"/>
      <rgbColor rgb="FFFF9900"/>
      <rgbColor rgb="FFE873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zoomScaleNormal="100" workbookViewId="0">
      <selection activeCell="N9" sqref="N9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3.59765625" style="1" customWidth="1"/>
    <col min="4" max="4" width="5.09765625" style="1" customWidth="1"/>
    <col min="5" max="5" width="4.59765625" style="1" customWidth="1"/>
    <col min="6" max="6" width="4.69921875" style="1" customWidth="1"/>
    <col min="7" max="7" width="11" style="1" customWidth="1"/>
    <col min="8" max="8" width="5.8984375" style="1" customWidth="1"/>
    <col min="9" max="9" width="3.296875" style="1" customWidth="1"/>
    <col min="10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 t="s">
        <v>15</v>
      </c>
      <c r="C2" s="3">
        <v>20</v>
      </c>
      <c r="D2" s="4">
        <v>-1</v>
      </c>
      <c r="E2" s="4"/>
      <c r="F2" s="4">
        <v>150</v>
      </c>
      <c r="G2" s="3"/>
      <c r="H2" s="4">
        <v>0</v>
      </c>
      <c r="I2" s="4">
        <v>3</v>
      </c>
      <c r="J2" s="4"/>
      <c r="K2" s="4">
        <v>-1</v>
      </c>
      <c r="L2" s="4">
        <v>-1</v>
      </c>
      <c r="M2" s="4">
        <v>-1</v>
      </c>
      <c r="N2" s="4" t="str">
        <f t="shared" ref="N2:N8" ca="1" si="0">_xlfn.CONCAT(_xlfn.SHEET(A1),B2)</f>
        <v>1AP2 calib</v>
      </c>
    </row>
    <row r="3" spans="1:14">
      <c r="A3" s="3" t="s">
        <v>16</v>
      </c>
      <c r="B3" s="3" t="s">
        <v>17</v>
      </c>
      <c r="C3" s="3">
        <v>10</v>
      </c>
      <c r="D3" s="4">
        <v>0</v>
      </c>
      <c r="E3" s="4"/>
      <c r="F3" s="4">
        <v>150</v>
      </c>
      <c r="G3" s="3"/>
      <c r="H3" s="4">
        <v>1</v>
      </c>
      <c r="I3" s="4">
        <v>3</v>
      </c>
      <c r="J3" s="4"/>
      <c r="K3" s="4">
        <v>236</v>
      </c>
      <c r="L3" s="4"/>
      <c r="M3" s="4">
        <v>202</v>
      </c>
      <c r="N3" s="4" t="str">
        <f t="shared" ca="1" si="0"/>
        <v>1AP2</v>
      </c>
    </row>
    <row r="4" spans="1:14">
      <c r="A4" s="3" t="s">
        <v>18</v>
      </c>
      <c r="B4" s="3" t="s">
        <v>17</v>
      </c>
      <c r="C4" s="3">
        <v>40</v>
      </c>
      <c r="D4" s="4">
        <v>0</v>
      </c>
      <c r="E4" s="4"/>
      <c r="F4" s="4">
        <v>150</v>
      </c>
      <c r="G4" s="3" t="s">
        <v>19</v>
      </c>
      <c r="H4" s="4">
        <v>1</v>
      </c>
      <c r="I4" s="4">
        <v>3</v>
      </c>
      <c r="J4" s="4"/>
      <c r="K4" s="4">
        <v>74</v>
      </c>
      <c r="L4" s="4"/>
      <c r="M4" s="4">
        <v>51</v>
      </c>
      <c r="N4" s="4" t="str">
        <f t="shared" ca="1" si="0"/>
        <v>1AP2</v>
      </c>
    </row>
    <row r="5" spans="1:14">
      <c r="A5" s="3" t="s">
        <v>20</v>
      </c>
      <c r="B5" s="3" t="s">
        <v>17</v>
      </c>
      <c r="C5" s="3">
        <v>20</v>
      </c>
      <c r="D5" s="4">
        <v>0</v>
      </c>
      <c r="E5" s="4"/>
      <c r="F5" s="4">
        <v>150</v>
      </c>
      <c r="G5" s="3"/>
      <c r="H5" s="4">
        <v>1</v>
      </c>
      <c r="I5" s="4">
        <v>3</v>
      </c>
      <c r="J5" s="4"/>
      <c r="K5" s="4">
        <v>107</v>
      </c>
      <c r="L5" s="4"/>
      <c r="M5" s="4">
        <v>84</v>
      </c>
      <c r="N5" s="4" t="str">
        <f t="shared" ca="1" si="0"/>
        <v>1AP2</v>
      </c>
    </row>
    <row r="6" spans="1:14">
      <c r="A6" s="4" t="s">
        <v>21</v>
      </c>
      <c r="B6" s="3" t="s">
        <v>17</v>
      </c>
      <c r="C6" s="4">
        <v>5</v>
      </c>
      <c r="D6" s="4">
        <v>0</v>
      </c>
      <c r="E6" s="4"/>
      <c r="F6" s="4">
        <v>150</v>
      </c>
      <c r="G6" s="4"/>
      <c r="H6" s="4">
        <v>1</v>
      </c>
      <c r="I6" s="4">
        <v>3</v>
      </c>
      <c r="J6" s="4"/>
      <c r="K6" s="4">
        <v>428</v>
      </c>
      <c r="L6" s="4"/>
      <c r="M6" s="4">
        <v>394</v>
      </c>
      <c r="N6" s="4" t="str">
        <f t="shared" ca="1" si="0"/>
        <v>1AP2</v>
      </c>
    </row>
    <row r="7" spans="1:14">
      <c r="A7" s="4" t="s">
        <v>22</v>
      </c>
      <c r="B7" s="3" t="s">
        <v>17</v>
      </c>
      <c r="C7" s="4">
        <v>30</v>
      </c>
      <c r="D7" s="4">
        <v>0</v>
      </c>
      <c r="E7" s="4"/>
      <c r="F7" s="3">
        <v>150</v>
      </c>
      <c r="G7" s="4"/>
      <c r="H7" s="4">
        <v>1</v>
      </c>
      <c r="I7" s="4">
        <v>3</v>
      </c>
      <c r="J7" s="4"/>
      <c r="K7" s="4">
        <v>77</v>
      </c>
      <c r="L7" s="4"/>
      <c r="M7" s="4">
        <v>67</v>
      </c>
      <c r="N7" s="4" t="str">
        <f t="shared" ca="1" si="0"/>
        <v>1AP2</v>
      </c>
    </row>
    <row r="8" spans="1:14">
      <c r="A8" s="4" t="s">
        <v>23</v>
      </c>
      <c r="B8" s="3" t="s">
        <v>17</v>
      </c>
      <c r="C8" s="4">
        <v>10</v>
      </c>
      <c r="D8" s="4">
        <v>0</v>
      </c>
      <c r="E8" s="4"/>
      <c r="F8" s="3">
        <v>150</v>
      </c>
      <c r="G8" s="4"/>
      <c r="H8" s="4">
        <v>2</v>
      </c>
      <c r="I8" s="4">
        <v>3</v>
      </c>
      <c r="J8" s="4"/>
      <c r="K8" s="4">
        <v>235</v>
      </c>
      <c r="L8" s="4"/>
      <c r="M8" s="4">
        <v>196</v>
      </c>
      <c r="N8" s="4" t="str">
        <f t="shared" ca="1" si="0"/>
        <v>1AP2</v>
      </c>
    </row>
    <row r="9" spans="1:14">
      <c r="N9" s="4"/>
    </row>
    <row r="10" spans="1:14">
      <c r="N10" s="4"/>
    </row>
    <row r="11" spans="1:14">
      <c r="N11" s="4"/>
    </row>
    <row r="12" spans="1:14">
      <c r="N12" s="4"/>
    </row>
    <row r="13" spans="1:14">
      <c r="N13" s="4"/>
    </row>
    <row r="14" spans="1:14">
      <c r="N14" s="4"/>
    </row>
    <row r="15" spans="1:14">
      <c r="N15" s="4"/>
    </row>
    <row r="16" spans="1:14">
      <c r="N16" s="4"/>
    </row>
    <row r="17" spans="14:14">
      <c r="N17" s="4"/>
    </row>
    <row r="18" spans="14:14">
      <c r="N18" s="4"/>
    </row>
    <row r="19" spans="14:14">
      <c r="N19" s="4"/>
    </row>
    <row r="20" spans="14:14">
      <c r="N20" s="4"/>
    </row>
    <row r="21" spans="14:14">
      <c r="N21" s="4"/>
    </row>
    <row r="22" spans="14:14">
      <c r="N22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tabSelected="1" zoomScaleNormal="100" workbookViewId="0">
      <selection activeCell="A2" sqref="A2:N1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3.59765625" style="1" customWidth="1"/>
    <col min="4" max="4" width="5.09765625" style="1" customWidth="1"/>
    <col min="5" max="5" width="4.5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/>
      <c r="B2" s="6"/>
      <c r="C2" s="6"/>
      <c r="D2" s="6"/>
      <c r="E2" s="6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/>
      <c r="B3" s="6"/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/>
      <c r="B4" s="6"/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3"/>
      <c r="B11" s="6"/>
      <c r="C11" s="3"/>
      <c r="D11" s="4"/>
      <c r="E11" s="4"/>
      <c r="F11" s="4"/>
      <c r="G11" s="3"/>
      <c r="H11" s="4"/>
      <c r="I11" s="4"/>
      <c r="J11" s="4"/>
      <c r="K11" s="4"/>
      <c r="L11" s="4"/>
      <c r="M11" s="4"/>
      <c r="N11" s="4"/>
    </row>
    <row r="12" spans="1:14">
      <c r="A12" s="3"/>
      <c r="B12" s="6"/>
      <c r="C12" s="3"/>
      <c r="D12" s="4"/>
      <c r="E12" s="4"/>
      <c r="F12" s="4"/>
      <c r="G12" s="3"/>
      <c r="H12" s="4"/>
      <c r="I12" s="4"/>
      <c r="J12" s="4"/>
      <c r="K12" s="4"/>
      <c r="L12" s="4"/>
      <c r="M12" s="4"/>
      <c r="N12" s="4"/>
    </row>
    <row r="13" spans="1:14">
      <c r="A13" s="7" t="s">
        <v>26</v>
      </c>
      <c r="B13" s="8" t="s">
        <v>27</v>
      </c>
      <c r="C13" s="7">
        <v>20</v>
      </c>
      <c r="D13" s="8">
        <v>1</v>
      </c>
      <c r="E13" s="8"/>
      <c r="F13" s="8">
        <v>250</v>
      </c>
      <c r="G13" s="7" t="s">
        <v>28</v>
      </c>
      <c r="H13" s="8">
        <v>1</v>
      </c>
      <c r="I13" s="8">
        <v>2</v>
      </c>
      <c r="J13" s="8"/>
      <c r="K13" s="8">
        <v>109</v>
      </c>
      <c r="L13" s="8"/>
      <c r="M13" s="8">
        <v>94</v>
      </c>
      <c r="N13" s="4" t="str">
        <f t="shared" ref="N2:N33" ca="1" si="0">_xlfn.CONCAT(_xlfn.SHEET(A12),B13)</f>
        <v>2AP1</v>
      </c>
    </row>
    <row r="14" spans="1:14">
      <c r="A14" s="7" t="s">
        <v>29</v>
      </c>
      <c r="B14" s="8" t="s">
        <v>27</v>
      </c>
      <c r="C14" s="7">
        <v>10</v>
      </c>
      <c r="D14" s="8">
        <v>1</v>
      </c>
      <c r="E14" s="8"/>
      <c r="F14" s="8">
        <v>250</v>
      </c>
      <c r="G14" s="7" t="s">
        <v>30</v>
      </c>
      <c r="H14" s="8">
        <v>1</v>
      </c>
      <c r="I14" s="8">
        <v>2</v>
      </c>
      <c r="J14" s="8"/>
      <c r="K14" s="8">
        <v>236</v>
      </c>
      <c r="L14" s="8"/>
      <c r="M14" s="8">
        <v>204</v>
      </c>
      <c r="N14" s="4" t="str">
        <f t="shared" ca="1" si="0"/>
        <v>2AP1</v>
      </c>
    </row>
    <row r="15" spans="1:14">
      <c r="A15" s="7" t="s">
        <v>31</v>
      </c>
      <c r="B15" s="8" t="s">
        <v>27</v>
      </c>
      <c r="C15" s="7">
        <v>40</v>
      </c>
      <c r="D15" s="8">
        <v>1</v>
      </c>
      <c r="E15" s="8"/>
      <c r="F15" s="8">
        <v>250</v>
      </c>
      <c r="G15" s="7" t="s">
        <v>28</v>
      </c>
      <c r="H15" s="8">
        <v>1</v>
      </c>
      <c r="I15" s="8">
        <v>2</v>
      </c>
      <c r="J15" s="8"/>
      <c r="K15" s="8">
        <v>77</v>
      </c>
      <c r="L15" s="8"/>
      <c r="M15" s="8">
        <v>46</v>
      </c>
      <c r="N15" s="4" t="str">
        <f t="shared" ca="1" si="0"/>
        <v>2AP1</v>
      </c>
    </row>
    <row r="16" spans="1:14">
      <c r="A16" s="7" t="s">
        <v>32</v>
      </c>
      <c r="B16" s="8" t="s">
        <v>27</v>
      </c>
      <c r="C16" s="7">
        <v>5</v>
      </c>
      <c r="D16" s="8">
        <v>0</v>
      </c>
      <c r="E16" s="8"/>
      <c r="F16" s="8">
        <v>250</v>
      </c>
      <c r="G16" s="7" t="s">
        <v>28</v>
      </c>
      <c r="H16" s="8">
        <v>1</v>
      </c>
      <c r="I16" s="8">
        <v>2</v>
      </c>
      <c r="J16" s="8"/>
      <c r="K16" s="8">
        <v>428</v>
      </c>
      <c r="L16" s="8"/>
      <c r="M16" s="8">
        <v>411</v>
      </c>
      <c r="N16" s="4" t="str">
        <f t="shared" ca="1" si="0"/>
        <v>2AP1</v>
      </c>
    </row>
    <row r="17" spans="1:14">
      <c r="A17" s="7" t="s">
        <v>33</v>
      </c>
      <c r="B17" s="8" t="s">
        <v>27</v>
      </c>
      <c r="C17" s="7">
        <v>30</v>
      </c>
      <c r="D17" s="8">
        <v>0</v>
      </c>
      <c r="E17" s="8"/>
      <c r="F17" s="8">
        <v>250</v>
      </c>
      <c r="G17" s="7" t="s">
        <v>34</v>
      </c>
      <c r="H17" s="8">
        <v>1</v>
      </c>
      <c r="I17" s="8">
        <v>2</v>
      </c>
      <c r="J17" s="8"/>
      <c r="K17" s="8">
        <v>77</v>
      </c>
      <c r="L17" s="8"/>
      <c r="M17" s="8">
        <v>69</v>
      </c>
      <c r="N17" s="4" t="str">
        <f t="shared" ca="1" si="0"/>
        <v>2AP1</v>
      </c>
    </row>
    <row r="18" spans="1:14">
      <c r="A18" s="7" t="s">
        <v>35</v>
      </c>
      <c r="B18" s="8" t="s">
        <v>27</v>
      </c>
      <c r="C18" s="7">
        <v>20</v>
      </c>
      <c r="D18" s="8">
        <v>0</v>
      </c>
      <c r="E18" s="8"/>
      <c r="F18" s="8">
        <v>250</v>
      </c>
      <c r="G18" s="7" t="s">
        <v>36</v>
      </c>
      <c r="H18" s="8">
        <v>2</v>
      </c>
      <c r="I18" s="8">
        <v>2</v>
      </c>
      <c r="J18" s="8"/>
      <c r="K18" s="8">
        <v>109</v>
      </c>
      <c r="L18" s="8"/>
      <c r="M18" s="8">
        <v>103</v>
      </c>
      <c r="N18" s="4" t="str">
        <f t="shared" ca="1" si="0"/>
        <v>2AP1</v>
      </c>
    </row>
    <row r="19" spans="1:14">
      <c r="A19" s="7" t="s">
        <v>37</v>
      </c>
      <c r="B19" s="8" t="s">
        <v>17</v>
      </c>
      <c r="C19" s="7">
        <v>5</v>
      </c>
      <c r="D19" s="8" t="s">
        <v>25</v>
      </c>
      <c r="E19" s="8"/>
      <c r="F19" s="8">
        <v>250</v>
      </c>
      <c r="G19" s="7"/>
      <c r="H19" s="8">
        <v>0</v>
      </c>
      <c r="I19" s="8">
        <v>2</v>
      </c>
      <c r="J19" s="8"/>
      <c r="K19" s="8">
        <v>-1</v>
      </c>
      <c r="L19" s="8">
        <v>-1</v>
      </c>
      <c r="M19" s="8">
        <v>-1</v>
      </c>
      <c r="N19" s="4" t="str">
        <f t="shared" ca="1" si="0"/>
        <v>2AP2</v>
      </c>
    </row>
    <row r="20" spans="1:14">
      <c r="A20" s="8" t="s">
        <v>38</v>
      </c>
      <c r="B20" s="8" t="s">
        <v>39</v>
      </c>
      <c r="C20" s="8">
        <v>10</v>
      </c>
      <c r="D20" s="8" t="s">
        <v>25</v>
      </c>
      <c r="E20" s="8"/>
      <c r="F20" s="8">
        <v>250</v>
      </c>
      <c r="G20" s="8"/>
      <c r="H20" s="8">
        <v>0</v>
      </c>
      <c r="I20" s="8">
        <v>2</v>
      </c>
      <c r="J20" s="8"/>
      <c r="K20" s="8">
        <v>-1</v>
      </c>
      <c r="L20" s="8">
        <v>-1</v>
      </c>
      <c r="M20" s="8">
        <v>-1</v>
      </c>
      <c r="N20" s="4" t="str">
        <f t="shared" ca="1" si="0"/>
        <v>2AP3</v>
      </c>
    </row>
    <row r="21" spans="1:14">
      <c r="A21" s="8" t="s">
        <v>40</v>
      </c>
      <c r="B21" s="8" t="s">
        <v>41</v>
      </c>
      <c r="C21" s="8">
        <v>20</v>
      </c>
      <c r="D21" s="8" t="s">
        <v>25</v>
      </c>
      <c r="E21" s="8"/>
      <c r="F21" s="8">
        <v>250</v>
      </c>
      <c r="G21" s="8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2AP4</v>
      </c>
    </row>
    <row r="22" spans="1:14">
      <c r="A22" s="8" t="s">
        <v>42</v>
      </c>
      <c r="B22" s="8" t="s">
        <v>43</v>
      </c>
      <c r="C22" s="8">
        <v>30</v>
      </c>
      <c r="D22" s="8" t="s">
        <v>25</v>
      </c>
      <c r="E22" s="8"/>
      <c r="F22" s="8">
        <v>250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2AP5</v>
      </c>
    </row>
    <row r="23" spans="1:14">
      <c r="A23" s="8" t="s">
        <v>44</v>
      </c>
      <c r="B23" s="8" t="s">
        <v>45</v>
      </c>
      <c r="C23" s="8">
        <v>40</v>
      </c>
      <c r="D23" s="8" t="s">
        <v>25</v>
      </c>
      <c r="E23" s="8"/>
      <c r="F23" s="8">
        <v>250</v>
      </c>
      <c r="G23" s="8"/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2AP6</v>
      </c>
    </row>
    <row r="24" spans="1:14">
      <c r="A24" s="4" t="s">
        <v>46</v>
      </c>
      <c r="B24" s="3" t="s">
        <v>17</v>
      </c>
      <c r="C24" s="4">
        <v>40</v>
      </c>
      <c r="D24" s="4">
        <v>1</v>
      </c>
      <c r="E24" s="4"/>
      <c r="F24" s="3">
        <v>250</v>
      </c>
      <c r="G24" s="4"/>
      <c r="H24" s="4">
        <v>1</v>
      </c>
      <c r="I24" s="4">
        <v>3</v>
      </c>
      <c r="J24" s="4"/>
      <c r="K24" s="4">
        <v>78</v>
      </c>
      <c r="L24" s="4"/>
      <c r="M24" s="4">
        <v>44</v>
      </c>
      <c r="N24" s="4" t="str">
        <f t="shared" ca="1" si="0"/>
        <v>2AP2</v>
      </c>
    </row>
    <row r="25" spans="1:14">
      <c r="A25" s="4" t="s">
        <v>47</v>
      </c>
      <c r="B25" s="3" t="s">
        <v>17</v>
      </c>
      <c r="C25" s="4">
        <v>5</v>
      </c>
      <c r="D25" s="4">
        <v>0</v>
      </c>
      <c r="E25" s="4"/>
      <c r="F25" s="3">
        <v>250</v>
      </c>
      <c r="G25" s="4" t="s">
        <v>48</v>
      </c>
      <c r="H25" s="4">
        <v>1</v>
      </c>
      <c r="I25" s="4">
        <v>3</v>
      </c>
      <c r="J25" s="4"/>
      <c r="K25" s="4">
        <v>429</v>
      </c>
      <c r="L25" s="4"/>
      <c r="M25" s="4">
        <v>407</v>
      </c>
      <c r="N25" s="4" t="str">
        <f t="shared" ca="1" si="0"/>
        <v>2AP2</v>
      </c>
    </row>
    <row r="26" spans="1:14">
      <c r="A26" s="4" t="s">
        <v>49</v>
      </c>
      <c r="B26" s="3" t="s">
        <v>17</v>
      </c>
      <c r="C26" s="4">
        <v>20</v>
      </c>
      <c r="D26" s="4">
        <v>1</v>
      </c>
      <c r="E26" s="4"/>
      <c r="F26" s="3">
        <v>250</v>
      </c>
      <c r="G26" s="4"/>
      <c r="H26" s="4">
        <v>1</v>
      </c>
      <c r="I26" s="4">
        <v>3</v>
      </c>
      <c r="J26" s="4"/>
      <c r="K26" s="4">
        <v>108</v>
      </c>
      <c r="L26" s="4"/>
      <c r="M26" s="4">
        <v>85</v>
      </c>
      <c r="N26" s="4" t="str">
        <f t="shared" ca="1" si="0"/>
        <v>2AP2</v>
      </c>
    </row>
    <row r="27" spans="1:14">
      <c r="A27" s="4" t="s">
        <v>50</v>
      </c>
      <c r="B27" s="3" t="s">
        <v>17</v>
      </c>
      <c r="C27" s="4">
        <v>10</v>
      </c>
      <c r="D27" s="4">
        <v>0</v>
      </c>
      <c r="E27" s="4"/>
      <c r="F27" s="3">
        <v>250</v>
      </c>
      <c r="G27" s="4" t="s">
        <v>51</v>
      </c>
      <c r="H27" s="4">
        <v>1</v>
      </c>
      <c r="I27" s="4">
        <v>3</v>
      </c>
      <c r="J27" s="4"/>
      <c r="K27" s="4">
        <v>237</v>
      </c>
      <c r="L27" s="4"/>
      <c r="M27" s="4">
        <v>200</v>
      </c>
      <c r="N27" s="4" t="str">
        <f t="shared" ca="1" si="0"/>
        <v>2AP2</v>
      </c>
    </row>
    <row r="28" spans="1:14">
      <c r="A28" s="4" t="s">
        <v>52</v>
      </c>
      <c r="B28" s="3" t="s">
        <v>17</v>
      </c>
      <c r="C28" s="4">
        <v>30</v>
      </c>
      <c r="D28" s="4">
        <v>1</v>
      </c>
      <c r="E28" s="4"/>
      <c r="F28" s="3">
        <v>250</v>
      </c>
      <c r="G28" s="9"/>
      <c r="H28" s="4">
        <v>1</v>
      </c>
      <c r="I28" s="4">
        <v>3</v>
      </c>
      <c r="J28" s="4"/>
      <c r="K28" s="4">
        <v>76</v>
      </c>
      <c r="L28" s="4"/>
      <c r="M28" s="4">
        <v>63</v>
      </c>
      <c r="N28" s="4" t="str">
        <f t="shared" ca="1" si="0"/>
        <v>2AP2</v>
      </c>
    </row>
    <row r="29" spans="1:14">
      <c r="A29" s="4" t="s">
        <v>53</v>
      </c>
      <c r="B29" s="3" t="s">
        <v>17</v>
      </c>
      <c r="C29" s="4">
        <v>40</v>
      </c>
      <c r="D29" s="4">
        <v>1</v>
      </c>
      <c r="E29" s="4"/>
      <c r="F29" s="3">
        <v>250</v>
      </c>
      <c r="G29" s="4"/>
      <c r="H29" s="4">
        <v>2</v>
      </c>
      <c r="I29" s="4">
        <v>3</v>
      </c>
      <c r="J29" s="4"/>
      <c r="K29" s="4">
        <v>78</v>
      </c>
      <c r="L29" s="4"/>
      <c r="M29" s="4">
        <v>37</v>
      </c>
      <c r="N29" s="4" t="str">
        <f t="shared" ca="1" si="0"/>
        <v>2AP2</v>
      </c>
    </row>
    <row r="30" spans="1:14">
      <c r="A30" s="4" t="s">
        <v>54</v>
      </c>
      <c r="B30" s="3" t="s">
        <v>17</v>
      </c>
      <c r="C30" s="4">
        <v>5</v>
      </c>
      <c r="D30" s="4" t="s">
        <v>25</v>
      </c>
      <c r="E30" s="4"/>
      <c r="F30" s="3">
        <v>250</v>
      </c>
      <c r="G30" s="4"/>
      <c r="H30" s="4">
        <v>0</v>
      </c>
      <c r="I30" s="4">
        <v>3</v>
      </c>
      <c r="J30" s="4"/>
      <c r="K30" s="4">
        <v>-1</v>
      </c>
      <c r="L30" s="4">
        <v>-1</v>
      </c>
      <c r="M30" s="4">
        <v>-1</v>
      </c>
      <c r="N30" s="4" t="str">
        <f t="shared" ca="1" si="0"/>
        <v>2AP2</v>
      </c>
    </row>
    <row r="31" spans="1:14">
      <c r="A31" s="4" t="s">
        <v>55</v>
      </c>
      <c r="B31" s="3" t="s">
        <v>17</v>
      </c>
      <c r="C31" s="4">
        <v>20</v>
      </c>
      <c r="D31" s="4" t="s">
        <v>25</v>
      </c>
      <c r="E31" s="4"/>
      <c r="F31" s="3">
        <v>250</v>
      </c>
      <c r="G31" s="4"/>
      <c r="H31" s="4">
        <v>0</v>
      </c>
      <c r="I31" s="4">
        <v>3</v>
      </c>
      <c r="J31" s="4"/>
      <c r="K31" s="4">
        <v>-1</v>
      </c>
      <c r="L31" s="4">
        <v>-1</v>
      </c>
      <c r="M31" s="4">
        <v>-1</v>
      </c>
      <c r="N31" s="4" t="str">
        <f t="shared" ca="1" si="0"/>
        <v>2AP2</v>
      </c>
    </row>
    <row r="32" spans="1:14">
      <c r="A32" s="4" t="s">
        <v>56</v>
      </c>
      <c r="B32" s="3" t="s">
        <v>17</v>
      </c>
      <c r="C32" s="4">
        <v>30</v>
      </c>
      <c r="D32" s="4" t="s">
        <v>25</v>
      </c>
      <c r="E32" s="4"/>
      <c r="F32" s="3">
        <v>250</v>
      </c>
      <c r="G32" s="4"/>
      <c r="H32" s="4">
        <v>0</v>
      </c>
      <c r="I32" s="4">
        <v>3</v>
      </c>
      <c r="J32" s="4"/>
      <c r="K32" s="4">
        <v>-1</v>
      </c>
      <c r="L32" s="4">
        <v>-1</v>
      </c>
      <c r="M32" s="4">
        <v>-1</v>
      </c>
      <c r="N32" s="4" t="str">
        <f t="shared" ca="1" si="0"/>
        <v>2AP2</v>
      </c>
    </row>
    <row r="33" spans="1:14">
      <c r="A33" s="4" t="s">
        <v>57</v>
      </c>
      <c r="B33" s="3" t="s">
        <v>17</v>
      </c>
      <c r="C33" s="4">
        <v>40</v>
      </c>
      <c r="D33" s="4" t="s">
        <v>25</v>
      </c>
      <c r="E33" s="4"/>
      <c r="F33" s="3">
        <v>250</v>
      </c>
      <c r="G33" s="4"/>
      <c r="H33" s="4">
        <v>0</v>
      </c>
      <c r="I33" s="4">
        <v>3</v>
      </c>
      <c r="J33" s="4"/>
      <c r="K33" s="4">
        <v>-1</v>
      </c>
      <c r="L33" s="4">
        <v>-1</v>
      </c>
      <c r="M33" s="4">
        <v>-1</v>
      </c>
      <c r="N33" s="4" t="str">
        <f t="shared" ca="1" si="0"/>
        <v>2AP2</v>
      </c>
    </row>
    <row r="34" spans="1:14">
      <c r="A34" s="4" t="s">
        <v>58</v>
      </c>
      <c r="B34" s="3" t="s">
        <v>17</v>
      </c>
      <c r="C34" s="4">
        <v>50</v>
      </c>
      <c r="D34" s="4" t="s">
        <v>25</v>
      </c>
      <c r="E34" s="4"/>
      <c r="F34" s="3">
        <v>250</v>
      </c>
      <c r="G34" s="4"/>
      <c r="H34" s="4">
        <v>0</v>
      </c>
      <c r="I34" s="4">
        <v>3</v>
      </c>
      <c r="J34" s="4"/>
      <c r="K34" s="4">
        <v>-1</v>
      </c>
      <c r="L34" s="4">
        <v>-1</v>
      </c>
      <c r="M34" s="4">
        <v>-1</v>
      </c>
      <c r="N34" s="4" t="str">
        <f t="shared" ref="N34:N69" ca="1" si="1">_xlfn.CONCAT(_xlfn.SHEET(A33),B34)</f>
        <v>2AP2</v>
      </c>
    </row>
    <row r="35" spans="1:14">
      <c r="A35" s="4" t="s">
        <v>59</v>
      </c>
      <c r="B35" s="3" t="s">
        <v>17</v>
      </c>
      <c r="C35" s="4">
        <v>10</v>
      </c>
      <c r="D35" s="4" t="s">
        <v>25</v>
      </c>
      <c r="E35" s="4"/>
      <c r="F35" s="3">
        <v>250</v>
      </c>
      <c r="G35" s="4"/>
      <c r="H35" s="4">
        <v>0</v>
      </c>
      <c r="I35" s="4">
        <v>3</v>
      </c>
      <c r="J35" s="4"/>
      <c r="K35" s="4">
        <v>-1</v>
      </c>
      <c r="L35" s="4">
        <v>-1</v>
      </c>
      <c r="M35" s="4">
        <v>-1</v>
      </c>
      <c r="N35" s="4" t="str">
        <f t="shared" ca="1" si="1"/>
        <v>2AP2</v>
      </c>
    </row>
    <row r="36" spans="1:14">
      <c r="A36" s="8" t="s">
        <v>60</v>
      </c>
      <c r="B36" s="8" t="s">
        <v>39</v>
      </c>
      <c r="C36" s="8">
        <v>10</v>
      </c>
      <c r="D36" s="8">
        <v>0</v>
      </c>
      <c r="E36" s="8"/>
      <c r="F36" s="8">
        <v>250</v>
      </c>
      <c r="G36" s="8"/>
      <c r="H36" s="8">
        <v>1</v>
      </c>
      <c r="I36" s="8">
        <v>4</v>
      </c>
      <c r="J36" s="8"/>
      <c r="K36" s="8">
        <v>236</v>
      </c>
      <c r="L36" s="8"/>
      <c r="M36" s="8">
        <v>198</v>
      </c>
      <c r="N36" s="4" t="str">
        <f t="shared" ca="1" si="1"/>
        <v>2AP3</v>
      </c>
    </row>
    <row r="37" spans="1:14">
      <c r="A37" s="8" t="s">
        <v>61</v>
      </c>
      <c r="B37" s="8" t="s">
        <v>39</v>
      </c>
      <c r="C37" s="8">
        <v>20</v>
      </c>
      <c r="D37" s="8">
        <v>0</v>
      </c>
      <c r="E37" s="8"/>
      <c r="F37" s="8">
        <v>250</v>
      </c>
      <c r="G37" s="8"/>
      <c r="H37" s="8">
        <v>1</v>
      </c>
      <c r="I37" s="10">
        <v>4</v>
      </c>
      <c r="J37" s="8"/>
      <c r="K37" s="8">
        <v>109</v>
      </c>
      <c r="L37" s="8"/>
      <c r="M37" s="8">
        <v>107</v>
      </c>
      <c r="N37" s="4" t="str">
        <f t="shared" ca="1" si="1"/>
        <v>2AP3</v>
      </c>
    </row>
    <row r="38" spans="1:14">
      <c r="A38" s="8" t="s">
        <v>62</v>
      </c>
      <c r="B38" s="8" t="s">
        <v>39</v>
      </c>
      <c r="C38" s="8">
        <v>5</v>
      </c>
      <c r="D38" s="8">
        <v>0</v>
      </c>
      <c r="E38" s="8"/>
      <c r="F38" s="8">
        <v>250</v>
      </c>
      <c r="G38" s="8"/>
      <c r="H38" s="8">
        <v>1</v>
      </c>
      <c r="I38" s="10">
        <v>4</v>
      </c>
      <c r="J38" s="8"/>
      <c r="K38" s="8">
        <v>428</v>
      </c>
      <c r="L38" s="8"/>
      <c r="M38" s="8">
        <v>407</v>
      </c>
      <c r="N38" s="4" t="str">
        <f t="shared" ca="1" si="1"/>
        <v>2AP3</v>
      </c>
    </row>
    <row r="39" spans="1:14">
      <c r="A39" s="8" t="s">
        <v>63</v>
      </c>
      <c r="B39" s="8" t="s">
        <v>39</v>
      </c>
      <c r="C39" s="8">
        <v>40</v>
      </c>
      <c r="D39" s="8">
        <v>1</v>
      </c>
      <c r="E39" s="8"/>
      <c r="F39" s="8">
        <v>250</v>
      </c>
      <c r="G39" s="8" t="s">
        <v>64</v>
      </c>
      <c r="H39" s="8">
        <v>1</v>
      </c>
      <c r="I39" s="8">
        <v>4</v>
      </c>
      <c r="J39" s="8"/>
      <c r="K39" s="8">
        <v>77</v>
      </c>
      <c r="L39" s="8"/>
      <c r="M39" s="8">
        <v>41</v>
      </c>
      <c r="N39" s="4" t="str">
        <f t="shared" ca="1" si="1"/>
        <v>2AP3</v>
      </c>
    </row>
    <row r="40" spans="1:14">
      <c r="A40" s="8" t="s">
        <v>65</v>
      </c>
      <c r="B40" s="8" t="s">
        <v>39</v>
      </c>
      <c r="C40" s="8">
        <v>30</v>
      </c>
      <c r="D40" s="8">
        <v>1</v>
      </c>
      <c r="E40" s="8"/>
      <c r="F40" s="8">
        <v>250</v>
      </c>
      <c r="G40" s="8"/>
      <c r="H40" s="8">
        <v>1</v>
      </c>
      <c r="I40" s="8">
        <v>4</v>
      </c>
      <c r="J40" s="8"/>
      <c r="K40" s="8">
        <v>77</v>
      </c>
      <c r="L40" s="8"/>
      <c r="M40" s="8">
        <v>56</v>
      </c>
      <c r="N40" s="4" t="str">
        <f t="shared" ca="1" si="1"/>
        <v>2AP3</v>
      </c>
    </row>
    <row r="41" spans="1:14">
      <c r="A41" s="8" t="s">
        <v>66</v>
      </c>
      <c r="B41" s="8" t="s">
        <v>39</v>
      </c>
      <c r="C41" s="8">
        <v>10</v>
      </c>
      <c r="D41" s="8">
        <v>0</v>
      </c>
      <c r="E41" s="8"/>
      <c r="F41" s="8">
        <v>250</v>
      </c>
      <c r="G41" s="8"/>
      <c r="H41" s="8">
        <v>2</v>
      </c>
      <c r="I41" s="8">
        <v>4</v>
      </c>
      <c r="J41" s="8"/>
      <c r="K41" s="8">
        <v>236</v>
      </c>
      <c r="L41" s="8"/>
      <c r="M41" s="8">
        <v>205</v>
      </c>
      <c r="N41" s="4" t="str">
        <f t="shared" ca="1" si="1"/>
        <v>2AP3</v>
      </c>
    </row>
    <row r="42" spans="1:14">
      <c r="A42" s="8" t="s">
        <v>67</v>
      </c>
      <c r="B42" s="8" t="s">
        <v>39</v>
      </c>
      <c r="C42" s="8">
        <v>5</v>
      </c>
      <c r="D42" s="8" t="s">
        <v>25</v>
      </c>
      <c r="E42" s="8"/>
      <c r="F42" s="8">
        <v>250</v>
      </c>
      <c r="G42" s="8"/>
      <c r="H42" s="8">
        <v>0</v>
      </c>
      <c r="I42" s="8">
        <v>4</v>
      </c>
      <c r="J42" s="8"/>
      <c r="K42" s="8">
        <v>-1</v>
      </c>
      <c r="L42" s="8">
        <v>-1</v>
      </c>
      <c r="M42" s="8">
        <v>-1</v>
      </c>
      <c r="N42" s="4" t="str">
        <f t="shared" ca="1" si="1"/>
        <v>2AP3</v>
      </c>
    </row>
    <row r="43" spans="1:14">
      <c r="A43" s="8" t="s">
        <v>68</v>
      </c>
      <c r="B43" s="8" t="s">
        <v>39</v>
      </c>
      <c r="C43" s="8">
        <v>10</v>
      </c>
      <c r="D43" s="8" t="s">
        <v>25</v>
      </c>
      <c r="E43" s="8"/>
      <c r="F43" s="8">
        <v>250</v>
      </c>
      <c r="G43" s="8"/>
      <c r="H43" s="8">
        <v>0</v>
      </c>
      <c r="I43" s="8">
        <v>4</v>
      </c>
      <c r="J43" s="8"/>
      <c r="K43" s="8">
        <v>-1</v>
      </c>
      <c r="L43" s="8">
        <v>-1</v>
      </c>
      <c r="M43" s="8">
        <v>-1</v>
      </c>
      <c r="N43" s="4" t="str">
        <f t="shared" ca="1" si="1"/>
        <v>2AP3</v>
      </c>
    </row>
    <row r="44" spans="1:14">
      <c r="A44" s="8" t="s">
        <v>69</v>
      </c>
      <c r="B44" s="8" t="s">
        <v>39</v>
      </c>
      <c r="C44" s="8">
        <v>20</v>
      </c>
      <c r="D44" s="8" t="s">
        <v>25</v>
      </c>
      <c r="E44" s="8"/>
      <c r="F44" s="8">
        <v>250</v>
      </c>
      <c r="G44" s="8"/>
      <c r="H44" s="8">
        <v>0</v>
      </c>
      <c r="I44" s="8">
        <v>4</v>
      </c>
      <c r="J44" s="8"/>
      <c r="K44" s="8">
        <v>-1</v>
      </c>
      <c r="L44" s="8">
        <v>-1</v>
      </c>
      <c r="M44" s="8">
        <v>-1</v>
      </c>
      <c r="N44" s="4" t="str">
        <f t="shared" ca="1" si="1"/>
        <v>2AP3</v>
      </c>
    </row>
    <row r="45" spans="1:14">
      <c r="A45" s="8" t="s">
        <v>70</v>
      </c>
      <c r="B45" s="8" t="s">
        <v>39</v>
      </c>
      <c r="C45" s="8">
        <v>30</v>
      </c>
      <c r="D45" s="8" t="s">
        <v>25</v>
      </c>
      <c r="E45" s="8"/>
      <c r="F45" s="8">
        <v>250</v>
      </c>
      <c r="G45" s="8"/>
      <c r="H45" s="8">
        <v>0</v>
      </c>
      <c r="I45" s="8">
        <v>4</v>
      </c>
      <c r="J45" s="8"/>
      <c r="K45" s="8">
        <v>-1</v>
      </c>
      <c r="L45" s="8">
        <v>-1</v>
      </c>
      <c r="M45" s="8">
        <v>-1</v>
      </c>
      <c r="N45" s="4" t="str">
        <f t="shared" ca="1" si="1"/>
        <v>2AP3</v>
      </c>
    </row>
    <row r="46" spans="1:14">
      <c r="A46" s="8" t="s">
        <v>71</v>
      </c>
      <c r="B46" s="8" t="s">
        <v>39</v>
      </c>
      <c r="C46" s="8">
        <v>40</v>
      </c>
      <c r="D46" s="8" t="s">
        <v>25</v>
      </c>
      <c r="E46" s="8"/>
      <c r="F46" s="8">
        <v>250</v>
      </c>
      <c r="G46" s="8"/>
      <c r="H46" s="8">
        <v>0</v>
      </c>
      <c r="I46" s="8">
        <v>4</v>
      </c>
      <c r="J46" s="8"/>
      <c r="K46" s="8">
        <v>-1</v>
      </c>
      <c r="L46" s="8">
        <v>-1</v>
      </c>
      <c r="M46" s="8">
        <v>-1</v>
      </c>
      <c r="N46" s="4" t="str">
        <f t="shared" ca="1" si="1"/>
        <v>2AP3</v>
      </c>
    </row>
    <row r="47" spans="1:14">
      <c r="A47" s="4" t="s">
        <v>72</v>
      </c>
      <c r="B47" s="4" t="s">
        <v>41</v>
      </c>
      <c r="C47" s="4">
        <v>40</v>
      </c>
      <c r="D47" s="4">
        <v>1</v>
      </c>
      <c r="E47" s="4"/>
      <c r="F47" s="4">
        <v>75</v>
      </c>
      <c r="G47" s="4"/>
      <c r="H47" s="4">
        <v>1</v>
      </c>
      <c r="I47" s="4">
        <v>5</v>
      </c>
      <c r="J47" s="4"/>
      <c r="K47" s="4">
        <v>77</v>
      </c>
      <c r="L47" s="4"/>
      <c r="M47" s="4">
        <v>51</v>
      </c>
      <c r="N47" s="4" t="str">
        <f t="shared" ca="1" si="1"/>
        <v>2AP4</v>
      </c>
    </row>
    <row r="48" spans="1:14">
      <c r="A48" s="4" t="s">
        <v>73</v>
      </c>
      <c r="B48" s="4" t="s">
        <v>41</v>
      </c>
      <c r="C48" s="4">
        <v>5</v>
      </c>
      <c r="D48" s="4">
        <v>0</v>
      </c>
      <c r="E48" s="4"/>
      <c r="F48" s="4">
        <v>75</v>
      </c>
      <c r="G48" s="4"/>
      <c r="H48" s="4">
        <v>1</v>
      </c>
      <c r="I48" s="4">
        <v>5</v>
      </c>
      <c r="J48" s="4"/>
      <c r="K48" s="4">
        <v>429</v>
      </c>
      <c r="L48" s="4"/>
      <c r="M48" s="4">
        <v>408</v>
      </c>
      <c r="N48" s="4" t="str">
        <f t="shared" ca="1" si="1"/>
        <v>2AP4</v>
      </c>
    </row>
    <row r="49" spans="1:14">
      <c r="A49" s="4" t="s">
        <v>74</v>
      </c>
      <c r="B49" s="4" t="s">
        <v>41</v>
      </c>
      <c r="C49" s="4">
        <v>20</v>
      </c>
      <c r="D49" s="4">
        <v>0</v>
      </c>
      <c r="E49" s="4"/>
      <c r="F49" s="4">
        <v>75</v>
      </c>
      <c r="G49" s="4" t="s">
        <v>34</v>
      </c>
      <c r="H49" s="4">
        <v>1</v>
      </c>
      <c r="I49" s="4">
        <v>5</v>
      </c>
      <c r="J49" s="4"/>
      <c r="K49" s="4">
        <v>109</v>
      </c>
      <c r="L49" s="4"/>
      <c r="M49" s="4">
        <v>101</v>
      </c>
      <c r="N49" s="4" t="str">
        <f t="shared" ca="1" si="1"/>
        <v>2AP4</v>
      </c>
    </row>
    <row r="50" spans="1:14">
      <c r="A50" s="4" t="s">
        <v>75</v>
      </c>
      <c r="B50" s="4" t="s">
        <v>41</v>
      </c>
      <c r="C50" s="4">
        <v>10</v>
      </c>
      <c r="D50" s="4">
        <v>0</v>
      </c>
      <c r="E50" s="4"/>
      <c r="F50" s="4">
        <v>75</v>
      </c>
      <c r="G50" s="4"/>
      <c r="H50" s="4">
        <v>1</v>
      </c>
      <c r="I50" s="4">
        <v>5</v>
      </c>
      <c r="J50" s="4"/>
      <c r="K50" s="4">
        <v>236</v>
      </c>
      <c r="L50" s="4"/>
      <c r="M50" s="4">
        <v>205</v>
      </c>
      <c r="N50" s="4" t="str">
        <f t="shared" ca="1" si="1"/>
        <v>2AP4</v>
      </c>
    </row>
    <row r="51" spans="1:14">
      <c r="A51" s="4" t="s">
        <v>76</v>
      </c>
      <c r="B51" s="4" t="s">
        <v>41</v>
      </c>
      <c r="C51" s="4">
        <v>30</v>
      </c>
      <c r="D51" s="4">
        <v>0</v>
      </c>
      <c r="E51" s="4"/>
      <c r="F51" s="4">
        <v>75</v>
      </c>
      <c r="G51" s="4"/>
      <c r="H51" s="4">
        <v>1</v>
      </c>
      <c r="I51" s="4">
        <v>5</v>
      </c>
      <c r="J51" s="4"/>
      <c r="K51" s="4">
        <v>76</v>
      </c>
      <c r="L51" s="4"/>
      <c r="M51" s="4">
        <v>75</v>
      </c>
      <c r="N51" s="4" t="str">
        <f t="shared" ca="1" si="1"/>
        <v>2AP4</v>
      </c>
    </row>
    <row r="52" spans="1:14">
      <c r="A52" s="4" t="s">
        <v>77</v>
      </c>
      <c r="B52" s="4" t="s">
        <v>41</v>
      </c>
      <c r="C52" s="4">
        <v>40</v>
      </c>
      <c r="D52" s="4">
        <v>1</v>
      </c>
      <c r="E52" s="4"/>
      <c r="F52" s="4">
        <v>75</v>
      </c>
      <c r="G52" s="4"/>
      <c r="H52" s="4">
        <v>2</v>
      </c>
      <c r="I52" s="4">
        <v>5</v>
      </c>
      <c r="J52" s="4"/>
      <c r="K52" s="4">
        <v>76</v>
      </c>
      <c r="L52" s="4"/>
      <c r="M52" s="4">
        <v>47</v>
      </c>
      <c r="N52" s="4" t="str">
        <f t="shared" ca="1" si="1"/>
        <v>2AP4</v>
      </c>
    </row>
    <row r="53" spans="1:14">
      <c r="A53" s="4" t="s">
        <v>78</v>
      </c>
      <c r="B53" s="4" t="s">
        <v>41</v>
      </c>
      <c r="C53" s="4">
        <v>5</v>
      </c>
      <c r="D53" s="4" t="s">
        <v>25</v>
      </c>
      <c r="E53" s="4"/>
      <c r="F53" s="4">
        <v>75</v>
      </c>
      <c r="G53" s="4"/>
      <c r="H53" s="4">
        <v>0</v>
      </c>
      <c r="I53" s="4">
        <v>5</v>
      </c>
      <c r="J53" s="4"/>
      <c r="K53" s="4">
        <v>-1</v>
      </c>
      <c r="L53" s="4">
        <v>-1</v>
      </c>
      <c r="M53" s="4">
        <v>-1</v>
      </c>
      <c r="N53" s="4" t="str">
        <f t="shared" ca="1" si="1"/>
        <v>2AP4</v>
      </c>
    </row>
    <row r="54" spans="1:14">
      <c r="A54" s="4" t="s">
        <v>79</v>
      </c>
      <c r="B54" s="4" t="s">
        <v>41</v>
      </c>
      <c r="C54" s="4">
        <v>10</v>
      </c>
      <c r="D54" s="4" t="s">
        <v>25</v>
      </c>
      <c r="E54" s="4"/>
      <c r="F54" s="4">
        <v>75</v>
      </c>
      <c r="G54" s="4"/>
      <c r="H54" s="4">
        <v>0</v>
      </c>
      <c r="I54" s="4">
        <v>5</v>
      </c>
      <c r="J54" s="4"/>
      <c r="K54" s="4">
        <v>-1</v>
      </c>
      <c r="L54" s="4">
        <v>-1</v>
      </c>
      <c r="M54" s="4">
        <v>-1</v>
      </c>
      <c r="N54" s="4" t="str">
        <f t="shared" ca="1" si="1"/>
        <v>2AP4</v>
      </c>
    </row>
    <row r="55" spans="1:14">
      <c r="A55" s="4" t="s">
        <v>80</v>
      </c>
      <c r="B55" s="4" t="s">
        <v>41</v>
      </c>
      <c r="C55" s="4">
        <v>20</v>
      </c>
      <c r="D55" s="4" t="s">
        <v>25</v>
      </c>
      <c r="E55" s="4"/>
      <c r="F55" s="4">
        <v>75</v>
      </c>
      <c r="G55" s="4"/>
      <c r="H55" s="4">
        <v>0</v>
      </c>
      <c r="I55" s="4">
        <v>5</v>
      </c>
      <c r="J55" s="4"/>
      <c r="K55" s="4">
        <v>-1</v>
      </c>
      <c r="L55" s="4">
        <v>-1</v>
      </c>
      <c r="M55" s="4">
        <v>-1</v>
      </c>
      <c r="N55" s="4" t="str">
        <f t="shared" ca="1" si="1"/>
        <v>2AP4</v>
      </c>
    </row>
    <row r="56" spans="1:14">
      <c r="A56" s="4" t="s">
        <v>81</v>
      </c>
      <c r="B56" s="4" t="s">
        <v>41</v>
      </c>
      <c r="C56" s="4">
        <v>30</v>
      </c>
      <c r="D56" s="4" t="s">
        <v>25</v>
      </c>
      <c r="E56" s="4"/>
      <c r="F56" s="4">
        <v>75</v>
      </c>
      <c r="G56" s="4"/>
      <c r="H56" s="4">
        <v>0</v>
      </c>
      <c r="I56" s="4">
        <v>5</v>
      </c>
      <c r="J56" s="4"/>
      <c r="K56" s="4">
        <v>-1</v>
      </c>
      <c r="L56" s="4">
        <v>-1</v>
      </c>
      <c r="M56" s="4">
        <v>-1</v>
      </c>
      <c r="N56" s="4" t="str">
        <f t="shared" ca="1" si="1"/>
        <v>2AP4</v>
      </c>
    </row>
    <row r="57" spans="1:14">
      <c r="A57" s="4" t="s">
        <v>82</v>
      </c>
      <c r="B57" s="4" t="s">
        <v>41</v>
      </c>
      <c r="C57" s="4">
        <v>40</v>
      </c>
      <c r="D57" s="4" t="s">
        <v>25</v>
      </c>
      <c r="E57" s="4"/>
      <c r="F57" s="4">
        <v>75</v>
      </c>
      <c r="G57" s="4"/>
      <c r="H57" s="4">
        <v>0</v>
      </c>
      <c r="I57" s="4">
        <v>5</v>
      </c>
      <c r="J57" s="4"/>
      <c r="K57" s="4">
        <v>-1</v>
      </c>
      <c r="L57" s="4">
        <v>-1</v>
      </c>
      <c r="M57" s="4">
        <v>-1</v>
      </c>
      <c r="N57" s="4" t="str">
        <f t="shared" ca="1" si="1"/>
        <v>2AP4</v>
      </c>
    </row>
    <row r="58" spans="1:14">
      <c r="A58" s="4" t="s">
        <v>83</v>
      </c>
      <c r="B58" s="4" t="s">
        <v>41</v>
      </c>
      <c r="C58" s="4">
        <v>50</v>
      </c>
      <c r="D58" s="4" t="s">
        <v>25</v>
      </c>
      <c r="E58" s="4"/>
      <c r="F58" s="4">
        <v>75</v>
      </c>
      <c r="G58" s="4"/>
      <c r="H58" s="4">
        <v>0</v>
      </c>
      <c r="I58" s="4">
        <v>5</v>
      </c>
      <c r="J58" s="4"/>
      <c r="K58" s="4">
        <v>-1</v>
      </c>
      <c r="L58" s="4">
        <v>-1</v>
      </c>
      <c r="M58" s="4">
        <v>-1</v>
      </c>
      <c r="N58" s="4" t="str">
        <f t="shared" ca="1" si="1"/>
        <v>2AP4</v>
      </c>
    </row>
    <row r="59" spans="1:14">
      <c r="A59" s="8" t="s">
        <v>84</v>
      </c>
      <c r="B59" s="8" t="s">
        <v>43</v>
      </c>
      <c r="C59" s="8">
        <v>20</v>
      </c>
      <c r="D59" s="8">
        <v>0</v>
      </c>
      <c r="E59" s="8"/>
      <c r="F59" s="8">
        <v>150</v>
      </c>
      <c r="G59" s="8"/>
      <c r="H59" s="8">
        <v>1</v>
      </c>
      <c r="I59" s="8">
        <v>6</v>
      </c>
      <c r="J59" s="8"/>
      <c r="K59" s="8">
        <v>108</v>
      </c>
      <c r="L59" s="8"/>
      <c r="M59" s="8">
        <v>105</v>
      </c>
      <c r="N59" s="4" t="str">
        <f t="shared" ca="1" si="1"/>
        <v>2AP5</v>
      </c>
    </row>
    <row r="60" spans="1:14">
      <c r="A60" s="8" t="s">
        <v>85</v>
      </c>
      <c r="B60" s="8" t="s">
        <v>43</v>
      </c>
      <c r="C60" s="8">
        <v>40</v>
      </c>
      <c r="D60" s="8">
        <v>1</v>
      </c>
      <c r="E60" s="8"/>
      <c r="F60" s="8">
        <v>150</v>
      </c>
      <c r="G60" s="8"/>
      <c r="H60" s="8">
        <v>1</v>
      </c>
      <c r="I60" s="8">
        <v>6</v>
      </c>
      <c r="J60" s="8"/>
      <c r="K60" s="8">
        <v>76</v>
      </c>
      <c r="L60" s="8"/>
      <c r="M60" s="8">
        <v>49</v>
      </c>
      <c r="N60" s="4" t="str">
        <f t="shared" ca="1" si="1"/>
        <v>2AP5</v>
      </c>
    </row>
    <row r="61" spans="1:14">
      <c r="A61" s="8" t="s">
        <v>86</v>
      </c>
      <c r="B61" s="8" t="s">
        <v>43</v>
      </c>
      <c r="C61" s="8">
        <v>5</v>
      </c>
      <c r="D61" s="8">
        <v>0</v>
      </c>
      <c r="E61" s="8"/>
      <c r="F61" s="8">
        <v>150</v>
      </c>
      <c r="G61" s="8"/>
      <c r="H61" s="8">
        <v>1</v>
      </c>
      <c r="I61" s="8">
        <v>6</v>
      </c>
      <c r="J61" s="8"/>
      <c r="K61" s="8">
        <v>429</v>
      </c>
      <c r="L61" s="8"/>
      <c r="M61" s="8">
        <v>404</v>
      </c>
      <c r="N61" s="4" t="str">
        <f t="shared" ca="1" si="1"/>
        <v>2AP5</v>
      </c>
    </row>
    <row r="62" spans="1:14">
      <c r="A62" s="8" t="s">
        <v>87</v>
      </c>
      <c r="B62" s="8" t="s">
        <v>43</v>
      </c>
      <c r="C62" s="8">
        <v>10</v>
      </c>
      <c r="D62" s="8">
        <v>0</v>
      </c>
      <c r="E62" s="8"/>
      <c r="F62" s="8">
        <v>150</v>
      </c>
      <c r="G62" s="8"/>
      <c r="H62" s="8">
        <v>1</v>
      </c>
      <c r="I62" s="8">
        <v>6</v>
      </c>
      <c r="J62" s="8"/>
      <c r="K62" s="8">
        <v>236</v>
      </c>
      <c r="L62" s="8"/>
      <c r="M62" s="8">
        <v>203</v>
      </c>
      <c r="N62" s="4" t="str">
        <f t="shared" ca="1" si="1"/>
        <v>2AP5</v>
      </c>
    </row>
    <row r="63" spans="1:14">
      <c r="A63" s="8" t="s">
        <v>88</v>
      </c>
      <c r="B63" s="8" t="s">
        <v>43</v>
      </c>
      <c r="C63" s="8">
        <v>30</v>
      </c>
      <c r="D63" s="8">
        <v>1</v>
      </c>
      <c r="E63" s="8"/>
      <c r="F63" s="8">
        <v>150</v>
      </c>
      <c r="G63" s="8"/>
      <c r="H63" s="8">
        <v>1</v>
      </c>
      <c r="I63" s="8">
        <v>6</v>
      </c>
      <c r="J63" s="8"/>
      <c r="K63" s="8">
        <v>77</v>
      </c>
      <c r="L63" s="8"/>
      <c r="M63" s="8">
        <v>64</v>
      </c>
      <c r="N63" s="4" t="str">
        <f t="shared" ca="1" si="1"/>
        <v>2AP5</v>
      </c>
    </row>
    <row r="64" spans="1:14">
      <c r="A64" s="8" t="s">
        <v>89</v>
      </c>
      <c r="B64" s="8" t="s">
        <v>43</v>
      </c>
      <c r="C64" s="8">
        <v>20</v>
      </c>
      <c r="D64" s="8">
        <v>1</v>
      </c>
      <c r="E64" s="8"/>
      <c r="F64" s="8">
        <v>150</v>
      </c>
      <c r="G64" s="8"/>
      <c r="H64" s="8">
        <v>2</v>
      </c>
      <c r="I64" s="8">
        <v>6</v>
      </c>
      <c r="J64" s="8"/>
      <c r="K64" s="8">
        <v>108</v>
      </c>
      <c r="L64" s="8"/>
      <c r="M64" s="8">
        <v>94</v>
      </c>
      <c r="N64" s="4" t="str">
        <f t="shared" ca="1" si="1"/>
        <v>2AP5</v>
      </c>
    </row>
    <row r="65" spans="1:14">
      <c r="A65" s="8" t="s">
        <v>90</v>
      </c>
      <c r="B65" s="8" t="s">
        <v>43</v>
      </c>
      <c r="C65" s="8">
        <v>5</v>
      </c>
      <c r="D65" s="8" t="s">
        <v>25</v>
      </c>
      <c r="E65" s="8"/>
      <c r="F65" s="8">
        <v>150</v>
      </c>
      <c r="G65" s="8"/>
      <c r="H65" s="8">
        <v>0</v>
      </c>
      <c r="I65" s="8">
        <v>6</v>
      </c>
      <c r="J65" s="8"/>
      <c r="K65" s="8"/>
      <c r="L65" s="8"/>
      <c r="M65" s="8"/>
      <c r="N65" s="4" t="str">
        <f t="shared" ca="1" si="1"/>
        <v>2AP5</v>
      </c>
    </row>
    <row r="66" spans="1:14">
      <c r="A66" s="8" t="s">
        <v>91</v>
      </c>
      <c r="B66" s="8" t="s">
        <v>43</v>
      </c>
      <c r="C66" s="8">
        <v>10</v>
      </c>
      <c r="D66" s="8" t="s">
        <v>25</v>
      </c>
      <c r="E66" s="8"/>
      <c r="F66" s="8">
        <v>150</v>
      </c>
      <c r="G66" s="8"/>
      <c r="H66" s="8">
        <v>0</v>
      </c>
      <c r="I66" s="8">
        <v>6</v>
      </c>
      <c r="J66" s="8"/>
      <c r="K66" s="8"/>
      <c r="L66" s="8"/>
      <c r="M66" s="8"/>
      <c r="N66" s="4" t="str">
        <f t="shared" ca="1" si="1"/>
        <v>2AP5</v>
      </c>
    </row>
    <row r="67" spans="1:14">
      <c r="A67" s="8" t="s">
        <v>92</v>
      </c>
      <c r="B67" s="8" t="s">
        <v>43</v>
      </c>
      <c r="C67" s="8">
        <v>20</v>
      </c>
      <c r="D67" s="8" t="s">
        <v>25</v>
      </c>
      <c r="E67" s="8"/>
      <c r="F67" s="8">
        <v>150</v>
      </c>
      <c r="G67" s="8"/>
      <c r="H67" s="8">
        <v>0</v>
      </c>
      <c r="I67" s="8">
        <v>6</v>
      </c>
      <c r="J67" s="8"/>
      <c r="K67" s="8"/>
      <c r="L67" s="8"/>
      <c r="M67" s="8"/>
      <c r="N67" s="4" t="str">
        <f t="shared" ca="1" si="1"/>
        <v>2AP5</v>
      </c>
    </row>
    <row r="68" spans="1:14">
      <c r="A68" s="8" t="s">
        <v>93</v>
      </c>
      <c r="B68" s="8" t="s">
        <v>43</v>
      </c>
      <c r="C68" s="8">
        <v>30</v>
      </c>
      <c r="D68" s="8" t="s">
        <v>25</v>
      </c>
      <c r="E68" s="8"/>
      <c r="F68" s="8">
        <v>150</v>
      </c>
      <c r="G68" s="8"/>
      <c r="H68" s="8">
        <v>0</v>
      </c>
      <c r="I68" s="8">
        <v>6</v>
      </c>
      <c r="J68" s="8"/>
      <c r="K68" s="8"/>
      <c r="L68" s="8"/>
      <c r="M68" s="8"/>
      <c r="N68" s="4" t="str">
        <f t="shared" ca="1" si="1"/>
        <v>2AP5</v>
      </c>
    </row>
    <row r="69" spans="1:14">
      <c r="A69" s="8" t="s">
        <v>94</v>
      </c>
      <c r="B69" s="8" t="s">
        <v>43</v>
      </c>
      <c r="C69" s="8">
        <v>40</v>
      </c>
      <c r="D69" s="8" t="s">
        <v>25</v>
      </c>
      <c r="E69" s="8"/>
      <c r="F69" s="8">
        <v>150</v>
      </c>
      <c r="G69" s="8"/>
      <c r="H69" s="8">
        <v>0</v>
      </c>
      <c r="I69" s="8">
        <v>6</v>
      </c>
      <c r="J69" s="8"/>
      <c r="K69" s="8"/>
      <c r="L69" s="8"/>
      <c r="M69" s="8"/>
      <c r="N69" s="4" t="str">
        <f t="shared" ca="1" si="1"/>
        <v>2AP5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topLeftCell="A25" zoomScaleNormal="100" workbookViewId="0">
      <selection activeCell="A48" sqref="A48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3.59765625" style="1" customWidth="1"/>
    <col min="4" max="4" width="5.09765625" style="1" customWidth="1"/>
    <col min="5" max="5" width="4.5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95</v>
      </c>
      <c r="B2" s="6" t="s">
        <v>27</v>
      </c>
      <c r="C2" s="6">
        <v>5</v>
      </c>
      <c r="D2" s="6">
        <v>0</v>
      </c>
      <c r="E2" s="6"/>
      <c r="F2" s="4">
        <v>75</v>
      </c>
      <c r="G2" s="4" t="s">
        <v>96</v>
      </c>
      <c r="H2" s="4">
        <v>1</v>
      </c>
      <c r="I2" s="4">
        <v>1</v>
      </c>
      <c r="J2" s="4">
        <f>MAX(I:I)</f>
        <v>3</v>
      </c>
      <c r="K2" s="4">
        <v>428</v>
      </c>
      <c r="L2" s="4"/>
      <c r="M2" s="4">
        <v>404</v>
      </c>
      <c r="N2" s="4" t="str">
        <f t="shared" ref="N2:N37" ca="1" si="0">_xlfn.CONCAT(_xlfn.SHEET(A1),B2)</f>
        <v>3AP1</v>
      </c>
    </row>
    <row r="3" spans="1:14">
      <c r="A3" s="5" t="s">
        <v>97</v>
      </c>
      <c r="B3" s="6" t="s">
        <v>27</v>
      </c>
      <c r="C3" s="6">
        <v>10</v>
      </c>
      <c r="D3" s="6">
        <v>0</v>
      </c>
      <c r="E3" s="6"/>
      <c r="F3" s="4">
        <v>75</v>
      </c>
      <c r="G3" s="4"/>
      <c r="H3" s="4">
        <v>1</v>
      </c>
      <c r="I3" s="4">
        <v>1</v>
      </c>
      <c r="J3" s="4"/>
      <c r="K3" s="4">
        <v>237</v>
      </c>
      <c r="L3" s="4"/>
      <c r="M3" s="4">
        <v>207</v>
      </c>
      <c r="N3" s="4" t="str">
        <f t="shared" ca="1" si="0"/>
        <v>3AP1</v>
      </c>
    </row>
    <row r="4" spans="1:14">
      <c r="A4" s="5" t="s">
        <v>98</v>
      </c>
      <c r="B4" s="6" t="s">
        <v>27</v>
      </c>
      <c r="C4" s="6">
        <v>20</v>
      </c>
      <c r="D4" s="6">
        <v>0</v>
      </c>
      <c r="E4" s="6"/>
      <c r="F4" s="4">
        <v>75</v>
      </c>
      <c r="G4" s="4"/>
      <c r="H4" s="4">
        <v>1</v>
      </c>
      <c r="I4" s="4">
        <v>1</v>
      </c>
      <c r="J4" s="4"/>
      <c r="K4" s="4">
        <v>109</v>
      </c>
      <c r="L4" s="4"/>
      <c r="M4" s="4">
        <v>108</v>
      </c>
      <c r="N4" s="4" t="str">
        <f t="shared" ca="1" si="0"/>
        <v>3AP1</v>
      </c>
    </row>
    <row r="5" spans="1:14">
      <c r="A5" s="4" t="s">
        <v>99</v>
      </c>
      <c r="B5" s="6" t="s">
        <v>27</v>
      </c>
      <c r="C5" s="4">
        <v>40</v>
      </c>
      <c r="D5" s="4">
        <v>0</v>
      </c>
      <c r="E5" s="4"/>
      <c r="F5" s="4">
        <v>75</v>
      </c>
      <c r="G5" s="4" t="s">
        <v>100</v>
      </c>
      <c r="H5" s="4">
        <v>1</v>
      </c>
      <c r="I5" s="4">
        <v>1</v>
      </c>
      <c r="J5" s="4"/>
      <c r="K5" s="4">
        <v>77</v>
      </c>
      <c r="L5" s="4"/>
      <c r="M5" s="4">
        <v>58</v>
      </c>
      <c r="N5" s="4" t="str">
        <f t="shared" ca="1" si="0"/>
        <v>3AP1</v>
      </c>
    </row>
    <row r="6" spans="1:14">
      <c r="A6" s="4" t="s">
        <v>101</v>
      </c>
      <c r="B6" s="6" t="s">
        <v>27</v>
      </c>
      <c r="C6" s="4">
        <v>30</v>
      </c>
      <c r="D6" s="4"/>
      <c r="E6" s="4"/>
      <c r="F6" s="4">
        <v>75</v>
      </c>
      <c r="G6" s="4"/>
      <c r="H6" s="4">
        <v>1</v>
      </c>
      <c r="I6" s="4">
        <v>1</v>
      </c>
      <c r="J6" s="4" t="s">
        <v>102</v>
      </c>
      <c r="K6" s="4">
        <v>76</v>
      </c>
      <c r="L6" s="4"/>
      <c r="M6" s="4">
        <v>71</v>
      </c>
      <c r="N6" s="4" t="str">
        <f t="shared" ca="1" si="0"/>
        <v>3AP1</v>
      </c>
    </row>
    <row r="7" spans="1:14">
      <c r="A7" s="4" t="s">
        <v>103</v>
      </c>
      <c r="B7" s="6" t="s">
        <v>27</v>
      </c>
      <c r="C7" s="4">
        <v>5</v>
      </c>
      <c r="D7" s="4" t="s">
        <v>25</v>
      </c>
      <c r="E7" s="4"/>
      <c r="F7" s="4">
        <v>75</v>
      </c>
      <c r="G7" s="4"/>
      <c r="H7" s="4">
        <v>0</v>
      </c>
      <c r="I7" s="4">
        <v>1</v>
      </c>
      <c r="J7" s="4"/>
      <c r="K7" s="4">
        <v>-1</v>
      </c>
      <c r="L7" s="4">
        <v>-1</v>
      </c>
      <c r="M7" s="4">
        <v>-1</v>
      </c>
      <c r="N7" s="4" t="str">
        <f t="shared" ca="1" si="0"/>
        <v>3AP1</v>
      </c>
    </row>
    <row r="8" spans="1:14">
      <c r="A8" s="4" t="s">
        <v>104</v>
      </c>
      <c r="B8" s="6" t="s">
        <v>27</v>
      </c>
      <c r="C8" s="4">
        <v>10</v>
      </c>
      <c r="D8" s="4" t="s">
        <v>25</v>
      </c>
      <c r="E8" s="4"/>
      <c r="F8" s="4">
        <v>75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4" t="str">
        <f t="shared" ca="1" si="0"/>
        <v>3AP1</v>
      </c>
    </row>
    <row r="9" spans="1:14">
      <c r="A9" s="4" t="s">
        <v>105</v>
      </c>
      <c r="B9" s="6" t="s">
        <v>27</v>
      </c>
      <c r="C9" s="4">
        <v>20</v>
      </c>
      <c r="D9" s="4" t="s">
        <v>25</v>
      </c>
      <c r="E9" s="4"/>
      <c r="F9" s="4">
        <v>75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3AP1</v>
      </c>
    </row>
    <row r="10" spans="1:14">
      <c r="A10" s="4" t="s">
        <v>106</v>
      </c>
      <c r="B10" s="6" t="s">
        <v>27</v>
      </c>
      <c r="C10" s="4">
        <v>30</v>
      </c>
      <c r="D10" s="4" t="s">
        <v>25</v>
      </c>
      <c r="E10" s="4"/>
      <c r="F10" s="4">
        <v>75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3AP1</v>
      </c>
    </row>
    <row r="11" spans="1:14">
      <c r="A11" s="3" t="s">
        <v>107</v>
      </c>
      <c r="B11" s="6" t="s">
        <v>27</v>
      </c>
      <c r="C11" s="3">
        <v>40</v>
      </c>
      <c r="D11" s="4" t="s">
        <v>25</v>
      </c>
      <c r="E11" s="4"/>
      <c r="F11" s="4">
        <v>75</v>
      </c>
      <c r="G11" s="3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3AP1</v>
      </c>
    </row>
    <row r="12" spans="1:14">
      <c r="A12" s="7" t="s">
        <v>108</v>
      </c>
      <c r="B12" s="8" t="s">
        <v>17</v>
      </c>
      <c r="C12" s="7">
        <v>20</v>
      </c>
      <c r="D12" s="8">
        <v>1</v>
      </c>
      <c r="E12" s="8"/>
      <c r="F12" s="8">
        <v>250</v>
      </c>
      <c r="G12" s="7"/>
      <c r="H12" s="8">
        <v>1</v>
      </c>
      <c r="I12" s="8">
        <v>2</v>
      </c>
      <c r="J12" s="8"/>
      <c r="K12" s="8">
        <v>109</v>
      </c>
      <c r="L12" s="8"/>
      <c r="M12" s="8">
        <v>101</v>
      </c>
      <c r="N12" s="4" t="str">
        <f t="shared" ca="1" si="0"/>
        <v>3AP2</v>
      </c>
    </row>
    <row r="13" spans="1:14">
      <c r="A13" s="7" t="s">
        <v>109</v>
      </c>
      <c r="B13" s="8" t="s">
        <v>17</v>
      </c>
      <c r="C13" s="7">
        <v>5</v>
      </c>
      <c r="D13" s="8">
        <v>0</v>
      </c>
      <c r="E13" s="8"/>
      <c r="F13" s="8">
        <v>250</v>
      </c>
      <c r="G13" s="7" t="s">
        <v>110</v>
      </c>
      <c r="H13" s="8">
        <v>1</v>
      </c>
      <c r="I13" s="8">
        <v>2</v>
      </c>
      <c r="J13" s="8"/>
      <c r="K13" s="8">
        <v>429</v>
      </c>
      <c r="L13" s="8"/>
      <c r="M13" s="8">
        <v>9999</v>
      </c>
      <c r="N13" s="4" t="str">
        <f t="shared" ca="1" si="0"/>
        <v>3AP2</v>
      </c>
    </row>
    <row r="14" spans="1:14">
      <c r="A14" s="7" t="s">
        <v>111</v>
      </c>
      <c r="B14" s="8" t="s">
        <v>17</v>
      </c>
      <c r="C14" s="7">
        <v>40</v>
      </c>
      <c r="D14" s="8">
        <v>1</v>
      </c>
      <c r="E14" s="8"/>
      <c r="F14" s="8">
        <v>250</v>
      </c>
      <c r="G14" s="7"/>
      <c r="H14" s="8">
        <v>1</v>
      </c>
      <c r="I14" s="8">
        <v>2</v>
      </c>
      <c r="J14" s="8"/>
      <c r="K14" s="8">
        <v>77</v>
      </c>
      <c r="L14" s="8"/>
      <c r="M14" s="8">
        <v>41</v>
      </c>
      <c r="N14" s="4" t="str">
        <f t="shared" ca="1" si="0"/>
        <v>3AP2</v>
      </c>
    </row>
    <row r="15" spans="1:14">
      <c r="A15" s="7" t="s">
        <v>112</v>
      </c>
      <c r="B15" s="8" t="s">
        <v>17</v>
      </c>
      <c r="C15" s="7">
        <v>10</v>
      </c>
      <c r="D15" s="8">
        <v>1</v>
      </c>
      <c r="E15" s="8"/>
      <c r="F15" s="8">
        <v>250</v>
      </c>
      <c r="G15" s="7" t="s">
        <v>113</v>
      </c>
      <c r="H15" s="8">
        <v>1</v>
      </c>
      <c r="I15" s="8">
        <v>2</v>
      </c>
      <c r="J15" s="8"/>
      <c r="K15" s="8">
        <v>238</v>
      </c>
      <c r="L15" s="8"/>
      <c r="M15" s="8">
        <v>208</v>
      </c>
      <c r="N15" s="4" t="str">
        <f t="shared" ca="1" si="0"/>
        <v>3AP2</v>
      </c>
    </row>
    <row r="16" spans="1:14">
      <c r="A16" s="7" t="s">
        <v>114</v>
      </c>
      <c r="B16" s="8" t="s">
        <v>17</v>
      </c>
      <c r="C16" s="7">
        <v>30</v>
      </c>
      <c r="D16" s="8">
        <v>1</v>
      </c>
      <c r="E16" s="8"/>
      <c r="F16" s="8">
        <v>250</v>
      </c>
      <c r="G16" s="7"/>
      <c r="H16" s="8">
        <v>1</v>
      </c>
      <c r="I16" s="8">
        <v>2</v>
      </c>
      <c r="J16" s="8"/>
      <c r="K16" s="8">
        <v>77</v>
      </c>
      <c r="L16" s="8"/>
      <c r="M16" s="8">
        <v>64</v>
      </c>
      <c r="N16" s="4" t="str">
        <f t="shared" ca="1" si="0"/>
        <v>3AP2</v>
      </c>
    </row>
    <row r="17" spans="1:14">
      <c r="A17" s="7" t="s">
        <v>115</v>
      </c>
      <c r="B17" s="8" t="s">
        <v>17</v>
      </c>
      <c r="C17" s="7">
        <v>20</v>
      </c>
      <c r="D17" s="8">
        <v>1</v>
      </c>
      <c r="E17" s="8"/>
      <c r="F17" s="8">
        <v>250</v>
      </c>
      <c r="G17" s="7" t="s">
        <v>116</v>
      </c>
      <c r="H17" s="8">
        <v>2</v>
      </c>
      <c r="I17" s="8">
        <v>2</v>
      </c>
      <c r="J17" s="8"/>
      <c r="K17" s="8">
        <v>109</v>
      </c>
      <c r="L17" s="8"/>
      <c r="M17" s="8">
        <v>98</v>
      </c>
      <c r="N17" s="4" t="str">
        <f t="shared" ca="1" si="0"/>
        <v>3AP2</v>
      </c>
    </row>
    <row r="18" spans="1:14">
      <c r="A18" s="7" t="s">
        <v>117</v>
      </c>
      <c r="B18" s="8" t="s">
        <v>17</v>
      </c>
      <c r="C18" s="7">
        <v>5</v>
      </c>
      <c r="D18" s="8">
        <v>-1</v>
      </c>
      <c r="E18" s="8"/>
      <c r="F18" s="8">
        <v>250</v>
      </c>
      <c r="G18" s="7"/>
      <c r="H18" s="8">
        <v>0</v>
      </c>
      <c r="I18" s="8">
        <v>2</v>
      </c>
      <c r="J18" s="8"/>
      <c r="K18" s="8">
        <v>-1</v>
      </c>
      <c r="L18" s="8">
        <v>-1</v>
      </c>
      <c r="M18" s="8">
        <v>-1</v>
      </c>
      <c r="N18" s="4" t="str">
        <f t="shared" ca="1" si="0"/>
        <v>3AP2</v>
      </c>
    </row>
    <row r="19" spans="1:14">
      <c r="A19" s="8" t="s">
        <v>118</v>
      </c>
      <c r="B19" s="8" t="s">
        <v>17</v>
      </c>
      <c r="C19" s="8">
        <v>10</v>
      </c>
      <c r="D19" s="8">
        <v>-1</v>
      </c>
      <c r="E19" s="8"/>
      <c r="F19" s="8">
        <v>250</v>
      </c>
      <c r="G19" s="8"/>
      <c r="H19" s="8">
        <v>0</v>
      </c>
      <c r="I19" s="8">
        <v>2</v>
      </c>
      <c r="J19" s="8"/>
      <c r="K19" s="8">
        <v>-1</v>
      </c>
      <c r="L19" s="8">
        <v>-1</v>
      </c>
      <c r="M19" s="8">
        <v>-1</v>
      </c>
      <c r="N19" s="4" t="str">
        <f t="shared" ca="1" si="0"/>
        <v>3AP2</v>
      </c>
    </row>
    <row r="20" spans="1:14">
      <c r="A20" s="8" t="s">
        <v>119</v>
      </c>
      <c r="B20" s="8" t="s">
        <v>17</v>
      </c>
      <c r="C20" s="8">
        <v>30</v>
      </c>
      <c r="D20" s="8">
        <v>-1</v>
      </c>
      <c r="E20" s="8"/>
      <c r="F20" s="8">
        <v>250</v>
      </c>
      <c r="G20" s="8"/>
      <c r="H20" s="8">
        <v>0</v>
      </c>
      <c r="I20" s="8">
        <v>2</v>
      </c>
      <c r="J20" s="8"/>
      <c r="K20" s="8">
        <v>-1</v>
      </c>
      <c r="L20" s="8">
        <v>-1</v>
      </c>
      <c r="M20" s="8">
        <v>-1</v>
      </c>
      <c r="N20" s="4" t="str">
        <f t="shared" ca="1" si="0"/>
        <v>3AP2</v>
      </c>
    </row>
    <row r="21" spans="1:14">
      <c r="A21" s="8" t="s">
        <v>120</v>
      </c>
      <c r="B21" s="8" t="s">
        <v>17</v>
      </c>
      <c r="C21" s="8">
        <v>20</v>
      </c>
      <c r="D21" s="8">
        <v>-1</v>
      </c>
      <c r="E21" s="8"/>
      <c r="F21" s="8">
        <v>250</v>
      </c>
      <c r="G21" s="8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3AP2</v>
      </c>
    </row>
    <row r="22" spans="1:14">
      <c r="A22" s="8" t="s">
        <v>121</v>
      </c>
      <c r="B22" s="8" t="s">
        <v>17</v>
      </c>
      <c r="C22" s="8">
        <v>40</v>
      </c>
      <c r="D22" s="8">
        <v>-1</v>
      </c>
      <c r="E22" s="8"/>
      <c r="F22" s="8">
        <v>250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3AP2</v>
      </c>
    </row>
    <row r="23" spans="1:14">
      <c r="A23" s="8" t="s">
        <v>122</v>
      </c>
      <c r="B23" s="8" t="s">
        <v>17</v>
      </c>
      <c r="C23" s="8">
        <v>50</v>
      </c>
      <c r="D23" s="8">
        <v>-1</v>
      </c>
      <c r="E23" s="8"/>
      <c r="F23" s="8">
        <v>250</v>
      </c>
      <c r="G23" s="8"/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3AP2</v>
      </c>
    </row>
    <row r="24" spans="1:14">
      <c r="A24" s="8" t="s">
        <v>123</v>
      </c>
      <c r="B24" s="8" t="s">
        <v>17</v>
      </c>
      <c r="C24" s="8">
        <v>60</v>
      </c>
      <c r="D24" s="8">
        <v>-1</v>
      </c>
      <c r="E24" s="8"/>
      <c r="F24" s="8">
        <v>250</v>
      </c>
      <c r="G24" s="8"/>
      <c r="H24" s="8">
        <v>0</v>
      </c>
      <c r="I24" s="8">
        <v>2</v>
      </c>
      <c r="J24" s="8"/>
      <c r="K24" s="8">
        <v>-1</v>
      </c>
      <c r="L24" s="8">
        <v>-1</v>
      </c>
      <c r="M24" s="8">
        <v>-1</v>
      </c>
      <c r="N24" s="4" t="str">
        <f t="shared" ca="1" si="0"/>
        <v>3AP2</v>
      </c>
    </row>
    <row r="25" spans="1:14">
      <c r="A25" s="8" t="s">
        <v>124</v>
      </c>
      <c r="B25" s="8" t="s">
        <v>17</v>
      </c>
      <c r="C25" s="8">
        <v>70</v>
      </c>
      <c r="D25" s="8">
        <v>-1</v>
      </c>
      <c r="E25" s="8"/>
      <c r="F25" s="8">
        <v>250</v>
      </c>
      <c r="G25" s="8"/>
      <c r="H25" s="8">
        <v>0</v>
      </c>
      <c r="I25" s="8">
        <v>2</v>
      </c>
      <c r="J25" s="8"/>
      <c r="K25" s="8">
        <v>-1</v>
      </c>
      <c r="L25" s="8">
        <v>-1</v>
      </c>
      <c r="M25" s="8">
        <v>-1</v>
      </c>
      <c r="N25" s="4" t="str">
        <f t="shared" ca="1" si="0"/>
        <v>3AP2</v>
      </c>
    </row>
    <row r="26" spans="1:14">
      <c r="A26" s="4" t="s">
        <v>125</v>
      </c>
      <c r="B26" s="3" t="s">
        <v>39</v>
      </c>
      <c r="C26" s="4">
        <v>5</v>
      </c>
      <c r="D26" s="4">
        <v>0</v>
      </c>
      <c r="E26" s="4"/>
      <c r="F26" s="3">
        <v>150</v>
      </c>
      <c r="G26" s="4" t="s">
        <v>126</v>
      </c>
      <c r="H26" s="4">
        <v>1</v>
      </c>
      <c r="I26" s="4">
        <v>3</v>
      </c>
      <c r="J26" s="4"/>
      <c r="K26" s="4">
        <v>429</v>
      </c>
      <c r="L26" s="4"/>
      <c r="M26" s="4">
        <v>421</v>
      </c>
      <c r="N26" s="4" t="str">
        <f t="shared" ca="1" si="0"/>
        <v>3AP3</v>
      </c>
    </row>
    <row r="27" spans="1:14">
      <c r="A27" s="4" t="s">
        <v>127</v>
      </c>
      <c r="B27" s="3" t="s">
        <v>39</v>
      </c>
      <c r="C27" s="4">
        <v>10</v>
      </c>
      <c r="D27" s="4">
        <v>0</v>
      </c>
      <c r="E27" s="4"/>
      <c r="F27" s="3">
        <v>150</v>
      </c>
      <c r="G27" s="4" t="s">
        <v>128</v>
      </c>
      <c r="H27" s="4">
        <v>1</v>
      </c>
      <c r="I27" s="4">
        <v>3</v>
      </c>
      <c r="J27" s="4"/>
      <c r="K27" s="4">
        <v>237</v>
      </c>
      <c r="L27" s="4"/>
      <c r="M27" s="4">
        <v>204</v>
      </c>
      <c r="N27" s="4" t="str">
        <f t="shared" ca="1" si="0"/>
        <v>3AP3</v>
      </c>
    </row>
    <row r="28" spans="1:14">
      <c r="A28" s="4" t="s">
        <v>129</v>
      </c>
      <c r="B28" s="3" t="s">
        <v>39</v>
      </c>
      <c r="C28" s="4">
        <v>20</v>
      </c>
      <c r="D28" s="4">
        <v>0</v>
      </c>
      <c r="E28" s="4"/>
      <c r="F28" s="3">
        <v>150</v>
      </c>
      <c r="G28" s="4"/>
      <c r="H28" s="4">
        <v>1</v>
      </c>
      <c r="I28" s="4">
        <v>3</v>
      </c>
      <c r="J28" s="4"/>
      <c r="K28" s="4">
        <v>109</v>
      </c>
      <c r="L28" s="4"/>
      <c r="M28" s="4">
        <v>104</v>
      </c>
      <c r="N28" s="4" t="str">
        <f t="shared" ca="1" si="0"/>
        <v>3AP3</v>
      </c>
    </row>
    <row r="29" spans="1:14">
      <c r="A29" s="4" t="s">
        <v>130</v>
      </c>
      <c r="B29" s="3" t="s">
        <v>39</v>
      </c>
      <c r="C29" s="4">
        <v>40</v>
      </c>
      <c r="D29" s="4">
        <v>1</v>
      </c>
      <c r="E29" s="4"/>
      <c r="F29" s="3">
        <v>150</v>
      </c>
      <c r="G29" s="4"/>
      <c r="H29" s="4">
        <v>1</v>
      </c>
      <c r="I29" s="4">
        <v>3</v>
      </c>
      <c r="J29" s="4"/>
      <c r="K29" s="4">
        <v>78</v>
      </c>
      <c r="L29" s="4"/>
      <c r="M29" s="4">
        <v>50</v>
      </c>
      <c r="N29" s="4" t="str">
        <f t="shared" ca="1" si="0"/>
        <v>3AP3</v>
      </c>
    </row>
    <row r="30" spans="1:14">
      <c r="A30" s="4" t="s">
        <v>131</v>
      </c>
      <c r="B30" s="3" t="s">
        <v>39</v>
      </c>
      <c r="C30" s="4">
        <v>30</v>
      </c>
      <c r="D30" s="4">
        <v>1</v>
      </c>
      <c r="E30" s="4"/>
      <c r="F30" s="3">
        <v>150</v>
      </c>
      <c r="G30" s="9"/>
      <c r="H30" s="4">
        <v>1</v>
      </c>
      <c r="I30" s="4">
        <v>3</v>
      </c>
      <c r="J30" s="4"/>
      <c r="K30" s="4">
        <v>77</v>
      </c>
      <c r="L30" s="4"/>
      <c r="M30" s="4">
        <v>62</v>
      </c>
      <c r="N30" s="4" t="str">
        <f t="shared" ca="1" si="0"/>
        <v>3AP3</v>
      </c>
    </row>
    <row r="31" spans="1:14">
      <c r="A31" s="4" t="s">
        <v>132</v>
      </c>
      <c r="B31" s="3" t="s">
        <v>39</v>
      </c>
      <c r="C31" s="4">
        <v>5</v>
      </c>
      <c r="D31" s="4">
        <v>0</v>
      </c>
      <c r="E31" s="4"/>
      <c r="F31" s="3">
        <v>150</v>
      </c>
      <c r="G31" s="4" t="s">
        <v>133</v>
      </c>
      <c r="H31" s="4">
        <v>2</v>
      </c>
      <c r="I31" s="4">
        <v>3</v>
      </c>
      <c r="J31" s="4"/>
      <c r="K31" s="4">
        <v>428</v>
      </c>
      <c r="L31" s="4"/>
      <c r="M31" s="4">
        <v>369</v>
      </c>
      <c r="N31" s="4" t="str">
        <f t="shared" ca="1" si="0"/>
        <v>3AP3</v>
      </c>
    </row>
    <row r="32" spans="1:14">
      <c r="A32" s="4" t="s">
        <v>134</v>
      </c>
      <c r="B32" s="3" t="s">
        <v>39</v>
      </c>
      <c r="C32" s="4">
        <v>5</v>
      </c>
      <c r="D32" s="4">
        <v>-1</v>
      </c>
      <c r="E32" s="4"/>
      <c r="F32" s="3">
        <v>150</v>
      </c>
      <c r="G32" s="4" t="s">
        <v>135</v>
      </c>
      <c r="H32" s="4">
        <v>0</v>
      </c>
      <c r="I32" s="4">
        <v>3</v>
      </c>
      <c r="J32" s="4"/>
      <c r="K32" s="4">
        <v>428</v>
      </c>
      <c r="L32" s="4"/>
      <c r="M32" s="4">
        <v>404</v>
      </c>
      <c r="N32" s="4" t="str">
        <f t="shared" ca="1" si="0"/>
        <v>3AP3</v>
      </c>
    </row>
    <row r="33" spans="1:14">
      <c r="A33" s="4" t="s">
        <v>136</v>
      </c>
      <c r="B33" s="3" t="s">
        <v>39</v>
      </c>
      <c r="C33" s="4">
        <v>10</v>
      </c>
      <c r="D33" s="4">
        <v>-1</v>
      </c>
      <c r="E33" s="4"/>
      <c r="F33" s="3">
        <v>150</v>
      </c>
      <c r="G33" s="4"/>
      <c r="H33" s="4">
        <v>0</v>
      </c>
      <c r="I33" s="4">
        <v>3</v>
      </c>
      <c r="J33" s="4"/>
      <c r="K33" s="4">
        <v>-1</v>
      </c>
      <c r="L33" s="4">
        <v>-1</v>
      </c>
      <c r="M33" s="4">
        <v>-1</v>
      </c>
      <c r="N33" s="4" t="str">
        <f t="shared" ca="1" si="0"/>
        <v>3AP3</v>
      </c>
    </row>
    <row r="34" spans="1:14">
      <c r="A34" s="4" t="s">
        <v>137</v>
      </c>
      <c r="B34" s="3" t="s">
        <v>39</v>
      </c>
      <c r="C34" s="4">
        <v>20</v>
      </c>
      <c r="D34" s="4">
        <v>-1</v>
      </c>
      <c r="E34" s="4"/>
      <c r="F34" s="3">
        <v>150</v>
      </c>
      <c r="G34" s="4"/>
      <c r="H34" s="4">
        <v>0</v>
      </c>
      <c r="I34" s="4">
        <v>3</v>
      </c>
      <c r="J34" s="4"/>
      <c r="K34" s="4">
        <v>-1</v>
      </c>
      <c r="L34" s="4">
        <v>-1</v>
      </c>
      <c r="M34" s="4">
        <v>-1</v>
      </c>
      <c r="N34" s="4" t="str">
        <f t="shared" ca="1" si="0"/>
        <v>3AP3</v>
      </c>
    </row>
    <row r="35" spans="1:14">
      <c r="A35" s="4" t="s">
        <v>138</v>
      </c>
      <c r="B35" s="3" t="s">
        <v>39</v>
      </c>
      <c r="C35" s="4">
        <v>30</v>
      </c>
      <c r="D35" s="4">
        <v>-1</v>
      </c>
      <c r="E35" s="4"/>
      <c r="F35" s="3">
        <v>150</v>
      </c>
      <c r="G35" s="4"/>
      <c r="H35" s="4">
        <v>0</v>
      </c>
      <c r="I35" s="4">
        <v>3</v>
      </c>
      <c r="J35" s="4"/>
      <c r="K35" s="4">
        <v>-1</v>
      </c>
      <c r="L35" s="4">
        <v>-1</v>
      </c>
      <c r="M35" s="4">
        <v>-1</v>
      </c>
      <c r="N35" s="4" t="str">
        <f t="shared" ca="1" si="0"/>
        <v>3AP3</v>
      </c>
    </row>
    <row r="36" spans="1:14">
      <c r="A36" s="4" t="s">
        <v>139</v>
      </c>
      <c r="B36" s="3" t="s">
        <v>39</v>
      </c>
      <c r="C36" s="4">
        <v>40</v>
      </c>
      <c r="D36" s="4">
        <v>-1</v>
      </c>
      <c r="E36" s="4"/>
      <c r="F36" s="3">
        <v>150</v>
      </c>
      <c r="G36" s="4"/>
      <c r="H36" s="4">
        <v>0</v>
      </c>
      <c r="I36" s="4">
        <v>3</v>
      </c>
      <c r="J36" s="4"/>
      <c r="K36" s="4">
        <v>-1</v>
      </c>
      <c r="L36" s="4">
        <v>-1</v>
      </c>
      <c r="M36" s="4">
        <v>-1</v>
      </c>
      <c r="N36" s="4" t="str">
        <f t="shared" ca="1" si="0"/>
        <v>3AP3</v>
      </c>
    </row>
    <row r="37" spans="1:14">
      <c r="A37" s="4" t="s">
        <v>140</v>
      </c>
      <c r="B37" s="3" t="s">
        <v>39</v>
      </c>
      <c r="C37" s="4">
        <v>50</v>
      </c>
      <c r="D37" s="4">
        <v>-1</v>
      </c>
      <c r="E37" s="4"/>
      <c r="F37" s="3">
        <v>150</v>
      </c>
      <c r="G37" s="4"/>
      <c r="H37" s="4">
        <v>0</v>
      </c>
      <c r="I37" s="4">
        <v>3</v>
      </c>
      <c r="J37" s="4"/>
      <c r="K37" s="4">
        <v>-1</v>
      </c>
      <c r="L37" s="4">
        <v>-1</v>
      </c>
      <c r="M37" s="4">
        <v>-1</v>
      </c>
      <c r="N37" s="4" t="str">
        <f t="shared" ca="1" si="0"/>
        <v>3AP3</v>
      </c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4"/>
    </row>
    <row r="39" spans="1:14">
      <c r="A39" s="8"/>
      <c r="B39" s="8"/>
      <c r="C39" s="8"/>
      <c r="D39" s="8"/>
      <c r="E39" s="8"/>
      <c r="F39" s="8"/>
      <c r="G39" s="8"/>
      <c r="H39" s="8"/>
      <c r="I39" s="10"/>
      <c r="J39" s="8"/>
      <c r="K39" s="8"/>
      <c r="L39" s="8"/>
      <c r="M39" s="8"/>
      <c r="N39" s="4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4"/>
    </row>
    <row r="41" spans="1:14">
      <c r="A41" s="8"/>
      <c r="B41" s="8"/>
      <c r="C41" s="8"/>
      <c r="D41" s="8"/>
      <c r="E41" s="8"/>
      <c r="F41" s="8"/>
      <c r="G41" s="8"/>
      <c r="H41" s="8"/>
      <c r="I41" s="10"/>
      <c r="J41" s="8"/>
      <c r="K41" s="8"/>
      <c r="L41" s="8"/>
      <c r="M41" s="8"/>
      <c r="N41" s="4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"/>
    </row>
    <row r="43" spans="1:14">
      <c r="A43" s="8"/>
      <c r="B43" s="8"/>
      <c r="C43" s="8"/>
      <c r="D43" s="8"/>
      <c r="E43" s="8"/>
      <c r="F43" s="8"/>
      <c r="G43" s="8"/>
      <c r="H43" s="8"/>
      <c r="I43" s="10"/>
      <c r="J43" s="8"/>
      <c r="K43" s="8"/>
      <c r="L43" s="8"/>
      <c r="M43" s="8"/>
      <c r="N43" s="4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4"/>
    </row>
    <row r="45" spans="1:14">
      <c r="A45" s="8"/>
      <c r="B45" s="8"/>
      <c r="C45" s="8"/>
      <c r="D45" s="8"/>
      <c r="E45" s="8"/>
      <c r="F45" s="8"/>
      <c r="G45" s="8"/>
      <c r="H45" s="8"/>
      <c r="I45" s="10"/>
      <c r="J45" s="8"/>
      <c r="K45" s="8"/>
      <c r="L45" s="8"/>
      <c r="M45" s="8"/>
      <c r="N45" s="4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4"/>
    </row>
    <row r="47" spans="1:14">
      <c r="A47" s="8"/>
      <c r="B47" s="8"/>
      <c r="C47" s="8"/>
      <c r="D47" s="8"/>
      <c r="E47" s="8"/>
      <c r="F47" s="8"/>
      <c r="G47" s="8"/>
      <c r="H47" s="8"/>
      <c r="I47" s="10"/>
      <c r="J47" s="8"/>
      <c r="K47" s="8"/>
      <c r="L47" s="8"/>
      <c r="M47" s="8"/>
      <c r="N47" s="4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4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topLeftCell="F31"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3.59765625" style="1" customWidth="1"/>
    <col min="4" max="4" width="5.09765625" style="1" customWidth="1"/>
    <col min="5" max="5" width="4.5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141</v>
      </c>
      <c r="B2" s="6" t="s">
        <v>24</v>
      </c>
      <c r="C2" s="6">
        <v>10</v>
      </c>
      <c r="D2" s="6">
        <v>0</v>
      </c>
      <c r="E2" s="6"/>
      <c r="F2" s="4">
        <v>150</v>
      </c>
      <c r="G2" s="4" t="s">
        <v>142</v>
      </c>
      <c r="H2" s="4">
        <v>1</v>
      </c>
      <c r="I2" s="4">
        <v>1</v>
      </c>
      <c r="J2" s="4">
        <f>MAX(I:I)</f>
        <v>4</v>
      </c>
      <c r="K2" s="4">
        <v>237</v>
      </c>
      <c r="L2" s="4"/>
      <c r="M2" s="4">
        <v>207</v>
      </c>
      <c r="N2" s="4" t="str">
        <f t="shared" ref="N2:N33" ca="1" si="0">_xlfn.CONCAT(_xlfn.SHEET(A1),B2)</f>
        <v>4M1</v>
      </c>
    </row>
    <row r="3" spans="1:14">
      <c r="A3" s="5" t="s">
        <v>143</v>
      </c>
      <c r="B3" s="6" t="s">
        <v>24</v>
      </c>
      <c r="C3" s="6">
        <v>20</v>
      </c>
      <c r="D3" s="6">
        <v>0</v>
      </c>
      <c r="E3" s="6"/>
      <c r="F3" s="4">
        <v>150</v>
      </c>
      <c r="G3" s="4"/>
      <c r="H3" s="4">
        <v>1</v>
      </c>
      <c r="I3" s="4">
        <v>1</v>
      </c>
      <c r="J3" s="4"/>
      <c r="K3" s="4">
        <v>109</v>
      </c>
      <c r="L3" s="4"/>
      <c r="M3" s="4">
        <v>105</v>
      </c>
      <c r="N3" s="4" t="str">
        <f t="shared" ca="1" si="0"/>
        <v>4M1</v>
      </c>
    </row>
    <row r="4" spans="1:14">
      <c r="A4" s="5" t="s">
        <v>144</v>
      </c>
      <c r="B4" s="6" t="s">
        <v>24</v>
      </c>
      <c r="C4" s="6">
        <v>5</v>
      </c>
      <c r="D4" s="6">
        <v>0</v>
      </c>
      <c r="E4" s="6"/>
      <c r="F4" s="4">
        <v>150</v>
      </c>
      <c r="G4" s="4"/>
      <c r="H4" s="4">
        <v>1</v>
      </c>
      <c r="I4" s="4">
        <v>1</v>
      </c>
      <c r="J4" s="4"/>
      <c r="K4" s="4">
        <v>429</v>
      </c>
      <c r="L4" s="4"/>
      <c r="M4" s="4">
        <v>399</v>
      </c>
      <c r="N4" s="4" t="str">
        <f t="shared" ca="1" si="0"/>
        <v>4M1</v>
      </c>
    </row>
    <row r="5" spans="1:14">
      <c r="A5" s="4" t="s">
        <v>145</v>
      </c>
      <c r="B5" s="6" t="s">
        <v>24</v>
      </c>
      <c r="C5" s="4">
        <v>40</v>
      </c>
      <c r="D5" s="4">
        <v>0</v>
      </c>
      <c r="E5" s="4"/>
      <c r="F5" s="4">
        <v>150</v>
      </c>
      <c r="G5" s="4"/>
      <c r="H5" s="4">
        <v>1</v>
      </c>
      <c r="I5" s="4">
        <v>1</v>
      </c>
      <c r="J5" s="4"/>
      <c r="K5" s="4">
        <v>78</v>
      </c>
      <c r="L5" s="4"/>
      <c r="M5" s="4">
        <v>55</v>
      </c>
      <c r="N5" s="4" t="str">
        <f t="shared" ca="1" si="0"/>
        <v>4M1</v>
      </c>
    </row>
    <row r="6" spans="1:14">
      <c r="A6" s="4" t="s">
        <v>146</v>
      </c>
      <c r="B6" s="6" t="s">
        <v>24</v>
      </c>
      <c r="C6" s="4">
        <v>30</v>
      </c>
      <c r="D6" s="4">
        <v>0</v>
      </c>
      <c r="E6" s="4"/>
      <c r="F6" s="4">
        <v>150</v>
      </c>
      <c r="G6" s="4"/>
      <c r="H6" s="4">
        <v>1</v>
      </c>
      <c r="I6" s="4">
        <v>1</v>
      </c>
      <c r="J6" s="4"/>
      <c r="K6" s="4">
        <v>77</v>
      </c>
      <c r="L6" s="4"/>
      <c r="M6" s="4">
        <v>72</v>
      </c>
      <c r="N6" s="4" t="str">
        <f t="shared" ca="1" si="0"/>
        <v>4M1</v>
      </c>
    </row>
    <row r="7" spans="1:14">
      <c r="A7" s="4" t="s">
        <v>147</v>
      </c>
      <c r="B7" s="6" t="s">
        <v>24</v>
      </c>
      <c r="C7" s="4">
        <v>10</v>
      </c>
      <c r="D7" s="4">
        <v>1</v>
      </c>
      <c r="E7" s="4"/>
      <c r="F7" s="4">
        <v>150</v>
      </c>
      <c r="G7" s="4"/>
      <c r="H7" s="4">
        <v>2</v>
      </c>
      <c r="I7" s="4">
        <v>1</v>
      </c>
      <c r="J7" s="4"/>
      <c r="K7" s="4">
        <v>236</v>
      </c>
      <c r="L7" s="4"/>
      <c r="M7" s="4">
        <v>191</v>
      </c>
      <c r="N7" s="4" t="str">
        <f t="shared" ca="1" si="0"/>
        <v>4M1</v>
      </c>
    </row>
    <row r="8" spans="1:14">
      <c r="A8" s="4" t="s">
        <v>148</v>
      </c>
      <c r="B8" s="6" t="s">
        <v>24</v>
      </c>
      <c r="C8" s="4">
        <v>5</v>
      </c>
      <c r="D8" s="4">
        <v>-1</v>
      </c>
      <c r="E8" s="4"/>
      <c r="F8" s="4">
        <v>150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4" t="str">
        <f t="shared" ca="1" si="0"/>
        <v>4M1</v>
      </c>
    </row>
    <row r="9" spans="1:14">
      <c r="A9" s="4" t="s">
        <v>149</v>
      </c>
      <c r="B9" s="6" t="s">
        <v>24</v>
      </c>
      <c r="C9" s="4">
        <v>10</v>
      </c>
      <c r="D9" s="4">
        <v>-1</v>
      </c>
      <c r="E9" s="4"/>
      <c r="F9" s="4">
        <v>150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4M1</v>
      </c>
    </row>
    <row r="10" spans="1:14">
      <c r="A10" s="4" t="s">
        <v>150</v>
      </c>
      <c r="B10" s="6" t="s">
        <v>24</v>
      </c>
      <c r="C10" s="4">
        <v>20</v>
      </c>
      <c r="D10" s="4">
        <v>-1</v>
      </c>
      <c r="E10" s="4"/>
      <c r="F10" s="4">
        <v>150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4M1</v>
      </c>
    </row>
    <row r="11" spans="1:14">
      <c r="A11" s="4" t="s">
        <v>151</v>
      </c>
      <c r="B11" s="6" t="s">
        <v>24</v>
      </c>
      <c r="C11" s="4">
        <v>30</v>
      </c>
      <c r="D11" s="4">
        <v>-1</v>
      </c>
      <c r="E11" s="4"/>
      <c r="F11" s="4">
        <v>150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4M1</v>
      </c>
    </row>
    <row r="12" spans="1:14">
      <c r="A12" s="3" t="s">
        <v>152</v>
      </c>
      <c r="B12" s="6" t="s">
        <v>24</v>
      </c>
      <c r="C12" s="3">
        <v>40</v>
      </c>
      <c r="D12" s="4">
        <v>-1</v>
      </c>
      <c r="E12" s="4"/>
      <c r="F12" s="4">
        <v>150</v>
      </c>
      <c r="G12" s="3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4M1</v>
      </c>
    </row>
    <row r="13" spans="1:14">
      <c r="A13" s="4" t="s">
        <v>153</v>
      </c>
      <c r="B13" s="6" t="s">
        <v>24</v>
      </c>
      <c r="C13" s="4">
        <v>50</v>
      </c>
      <c r="D13" s="4">
        <v>-1</v>
      </c>
      <c r="E13" s="4"/>
      <c r="F13" s="4">
        <v>150</v>
      </c>
      <c r="G13" s="4"/>
      <c r="H13" s="4">
        <v>0</v>
      </c>
      <c r="I13" s="4">
        <v>1</v>
      </c>
      <c r="J13" s="4"/>
      <c r="K13" s="4">
        <v>-1</v>
      </c>
      <c r="L13" s="4">
        <v>-1</v>
      </c>
      <c r="M13" s="4">
        <v>-1</v>
      </c>
      <c r="N13" s="4" t="str">
        <f t="shared" ca="1" si="0"/>
        <v>4M1</v>
      </c>
    </row>
    <row r="14" spans="1:14">
      <c r="A14" s="4" t="s">
        <v>154</v>
      </c>
      <c r="B14" s="6" t="s">
        <v>24</v>
      </c>
      <c r="C14" s="4">
        <v>60</v>
      </c>
      <c r="D14" s="4">
        <v>-1</v>
      </c>
      <c r="E14" s="4"/>
      <c r="F14" s="4">
        <v>150</v>
      </c>
      <c r="G14" s="4"/>
      <c r="H14" s="4">
        <v>0</v>
      </c>
      <c r="I14" s="4">
        <v>1</v>
      </c>
      <c r="J14" s="4"/>
      <c r="K14" s="4">
        <v>-1</v>
      </c>
      <c r="L14" s="4">
        <v>-1</v>
      </c>
      <c r="M14" s="4">
        <v>-1</v>
      </c>
      <c r="N14" s="4" t="str">
        <f t="shared" ca="1" si="0"/>
        <v>4M1</v>
      </c>
    </row>
    <row r="15" spans="1:14">
      <c r="A15" s="7" t="s">
        <v>155</v>
      </c>
      <c r="B15" s="8" t="s">
        <v>156</v>
      </c>
      <c r="C15" s="7">
        <v>10</v>
      </c>
      <c r="D15" s="8">
        <v>0</v>
      </c>
      <c r="E15" s="8"/>
      <c r="F15" s="8">
        <v>150</v>
      </c>
      <c r="G15" s="7"/>
      <c r="H15" s="8">
        <v>1</v>
      </c>
      <c r="I15" s="8">
        <v>2</v>
      </c>
      <c r="J15" s="8"/>
      <c r="K15" s="8">
        <v>236</v>
      </c>
      <c r="L15" s="8"/>
      <c r="M15" s="8">
        <v>209</v>
      </c>
      <c r="N15" s="4" t="str">
        <f t="shared" ca="1" si="0"/>
        <v>4M2</v>
      </c>
    </row>
    <row r="16" spans="1:14">
      <c r="A16" s="7" t="s">
        <v>157</v>
      </c>
      <c r="B16" s="8" t="s">
        <v>156</v>
      </c>
      <c r="C16" s="7">
        <v>40</v>
      </c>
      <c r="D16" s="8">
        <v>1</v>
      </c>
      <c r="E16" s="8"/>
      <c r="F16" s="8">
        <v>150</v>
      </c>
      <c r="G16" s="7"/>
      <c r="H16" s="8">
        <v>1</v>
      </c>
      <c r="I16" s="8">
        <v>2</v>
      </c>
      <c r="J16" s="8"/>
      <c r="K16" s="8">
        <v>78</v>
      </c>
      <c r="L16" s="8"/>
      <c r="M16" s="8">
        <v>45</v>
      </c>
      <c r="N16" s="4" t="str">
        <f t="shared" ca="1" si="0"/>
        <v>4M2</v>
      </c>
    </row>
    <row r="17" spans="1:14">
      <c r="A17" s="7" t="s">
        <v>158</v>
      </c>
      <c r="B17" s="8" t="s">
        <v>156</v>
      </c>
      <c r="C17" s="7">
        <v>5</v>
      </c>
      <c r="D17" s="8">
        <v>0</v>
      </c>
      <c r="E17" s="8"/>
      <c r="F17" s="8">
        <v>150</v>
      </c>
      <c r="G17" s="7"/>
      <c r="H17" s="8">
        <v>1</v>
      </c>
      <c r="I17" s="8">
        <v>2</v>
      </c>
      <c r="J17" s="8"/>
      <c r="K17" s="8">
        <v>428</v>
      </c>
      <c r="L17" s="8"/>
      <c r="M17" s="8">
        <v>400</v>
      </c>
      <c r="N17" s="4" t="str">
        <f t="shared" ca="1" si="0"/>
        <v>4M2</v>
      </c>
    </row>
    <row r="18" spans="1:14">
      <c r="A18" s="7" t="s">
        <v>159</v>
      </c>
      <c r="B18" s="8" t="s">
        <v>156</v>
      </c>
      <c r="C18" s="7">
        <v>20</v>
      </c>
      <c r="D18" s="8">
        <v>0</v>
      </c>
      <c r="E18" s="8"/>
      <c r="F18" s="8">
        <v>150</v>
      </c>
      <c r="G18" s="7" t="s">
        <v>160</v>
      </c>
      <c r="H18" s="8">
        <v>1</v>
      </c>
      <c r="I18" s="8">
        <v>2</v>
      </c>
      <c r="J18" s="8"/>
      <c r="K18" s="8">
        <v>109</v>
      </c>
      <c r="L18" s="8"/>
      <c r="M18" s="8">
        <v>107</v>
      </c>
      <c r="N18" s="4" t="str">
        <f t="shared" ca="1" si="0"/>
        <v>4M2</v>
      </c>
    </row>
    <row r="19" spans="1:14">
      <c r="A19" s="7" t="s">
        <v>161</v>
      </c>
      <c r="B19" s="8" t="s">
        <v>156</v>
      </c>
      <c r="C19" s="7">
        <v>30</v>
      </c>
      <c r="D19" s="8">
        <v>1</v>
      </c>
      <c r="E19" s="8">
        <v>2</v>
      </c>
      <c r="F19" s="8">
        <v>150</v>
      </c>
      <c r="G19" s="7"/>
      <c r="H19" s="8">
        <v>1</v>
      </c>
      <c r="I19" s="8">
        <v>2</v>
      </c>
      <c r="J19" s="8"/>
      <c r="K19" s="8">
        <v>78</v>
      </c>
      <c r="L19" s="8"/>
      <c r="M19" s="8">
        <v>57</v>
      </c>
      <c r="N19" s="4" t="str">
        <f t="shared" ca="1" si="0"/>
        <v>4M2</v>
      </c>
    </row>
    <row r="20" spans="1:14">
      <c r="A20" s="7" t="s">
        <v>162</v>
      </c>
      <c r="B20" s="8" t="s">
        <v>156</v>
      </c>
      <c r="C20" s="7">
        <v>10</v>
      </c>
      <c r="D20" s="8">
        <v>0</v>
      </c>
      <c r="E20" s="8"/>
      <c r="F20" s="8">
        <v>150</v>
      </c>
      <c r="G20" s="7" t="s">
        <v>163</v>
      </c>
      <c r="H20" s="8">
        <v>2</v>
      </c>
      <c r="I20" s="8">
        <v>2</v>
      </c>
      <c r="J20" s="8"/>
      <c r="K20" s="8">
        <v>237</v>
      </c>
      <c r="L20" s="8"/>
      <c r="M20" s="8">
        <v>207</v>
      </c>
      <c r="N20" s="4" t="str">
        <f t="shared" ca="1" si="0"/>
        <v>4M2</v>
      </c>
    </row>
    <row r="21" spans="1:14">
      <c r="A21" s="7" t="s">
        <v>164</v>
      </c>
      <c r="B21" s="8" t="s">
        <v>156</v>
      </c>
      <c r="C21" s="7">
        <v>5</v>
      </c>
      <c r="D21" s="8">
        <v>-1</v>
      </c>
      <c r="E21" s="8"/>
      <c r="F21" s="8">
        <v>150</v>
      </c>
      <c r="G21" s="7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4M2</v>
      </c>
    </row>
    <row r="22" spans="1:14">
      <c r="A22" s="8" t="s">
        <v>165</v>
      </c>
      <c r="B22" s="8" t="s">
        <v>156</v>
      </c>
      <c r="C22" s="8">
        <v>10</v>
      </c>
      <c r="D22" s="8">
        <v>-1</v>
      </c>
      <c r="E22" s="8"/>
      <c r="F22" s="8">
        <v>150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4M2</v>
      </c>
    </row>
    <row r="23" spans="1:14">
      <c r="A23" s="8" t="s">
        <v>166</v>
      </c>
      <c r="B23" s="8" t="s">
        <v>156</v>
      </c>
      <c r="C23" s="8">
        <v>20</v>
      </c>
      <c r="D23" s="8">
        <v>-1</v>
      </c>
      <c r="E23" s="8"/>
      <c r="F23" s="8">
        <v>150</v>
      </c>
      <c r="G23" s="8"/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4M2</v>
      </c>
    </row>
    <row r="24" spans="1:14">
      <c r="A24" s="8" t="s">
        <v>167</v>
      </c>
      <c r="B24" s="8" t="s">
        <v>156</v>
      </c>
      <c r="C24" s="8">
        <v>30</v>
      </c>
      <c r="D24" s="8">
        <v>-1</v>
      </c>
      <c r="E24" s="8"/>
      <c r="F24" s="8">
        <v>150</v>
      </c>
      <c r="G24" s="8"/>
      <c r="H24" s="8">
        <v>0</v>
      </c>
      <c r="I24" s="8">
        <v>2</v>
      </c>
      <c r="J24" s="8"/>
      <c r="K24" s="8">
        <v>-1</v>
      </c>
      <c r="L24" s="8">
        <v>-1</v>
      </c>
      <c r="M24" s="8">
        <v>-1</v>
      </c>
      <c r="N24" s="4" t="str">
        <f t="shared" ca="1" si="0"/>
        <v>4M2</v>
      </c>
    </row>
    <row r="25" spans="1:14">
      <c r="A25" s="8" t="s">
        <v>168</v>
      </c>
      <c r="B25" s="8" t="s">
        <v>156</v>
      </c>
      <c r="C25" s="8">
        <v>40</v>
      </c>
      <c r="D25" s="8">
        <v>-1</v>
      </c>
      <c r="E25" s="8"/>
      <c r="F25" s="8">
        <v>150</v>
      </c>
      <c r="G25" s="8"/>
      <c r="H25" s="8">
        <v>0</v>
      </c>
      <c r="I25" s="8">
        <v>2</v>
      </c>
      <c r="J25" s="8"/>
      <c r="K25" s="8">
        <v>-1</v>
      </c>
      <c r="L25" s="8">
        <v>-1</v>
      </c>
      <c r="M25" s="8">
        <v>-1</v>
      </c>
      <c r="N25" s="4" t="str">
        <f t="shared" ca="1" si="0"/>
        <v>4M2</v>
      </c>
    </row>
    <row r="26" spans="1:14">
      <c r="A26" s="8" t="s">
        <v>169</v>
      </c>
      <c r="B26" s="8" t="s">
        <v>156</v>
      </c>
      <c r="C26" s="8">
        <v>50</v>
      </c>
      <c r="D26" s="8">
        <v>-1</v>
      </c>
      <c r="E26" s="8"/>
      <c r="F26" s="8">
        <v>150</v>
      </c>
      <c r="G26" s="8"/>
      <c r="H26" s="8">
        <v>0</v>
      </c>
      <c r="I26" s="8">
        <v>2</v>
      </c>
      <c r="J26" s="8"/>
      <c r="K26" s="8">
        <v>-1</v>
      </c>
      <c r="L26" s="8">
        <v>-1</v>
      </c>
      <c r="M26" s="8">
        <v>-1</v>
      </c>
      <c r="N26" s="4" t="str">
        <f t="shared" ca="1" si="0"/>
        <v>4M2</v>
      </c>
    </row>
    <row r="27" spans="1:14">
      <c r="A27" s="8" t="s">
        <v>170</v>
      </c>
      <c r="B27" s="8" t="s">
        <v>156</v>
      </c>
      <c r="C27" s="8">
        <v>60</v>
      </c>
      <c r="D27" s="8">
        <v>-1</v>
      </c>
      <c r="E27" s="8"/>
      <c r="F27" s="8">
        <v>150</v>
      </c>
      <c r="G27" s="8"/>
      <c r="H27" s="8">
        <v>0</v>
      </c>
      <c r="I27" s="8">
        <v>2</v>
      </c>
      <c r="J27" s="8"/>
      <c r="K27" s="8">
        <v>-1</v>
      </c>
      <c r="L27" s="8">
        <v>-1</v>
      </c>
      <c r="M27" s="8">
        <v>-1</v>
      </c>
      <c r="N27" s="4" t="str">
        <f t="shared" ca="1" si="0"/>
        <v>4M2</v>
      </c>
    </row>
    <row r="28" spans="1:14">
      <c r="A28" s="8" t="s">
        <v>171</v>
      </c>
      <c r="B28" s="8" t="s">
        <v>156</v>
      </c>
      <c r="C28" s="8">
        <v>70</v>
      </c>
      <c r="D28" s="8">
        <v>-1</v>
      </c>
      <c r="E28" s="8"/>
      <c r="F28" s="8">
        <v>150</v>
      </c>
      <c r="G28" s="8"/>
      <c r="H28" s="8">
        <v>0</v>
      </c>
      <c r="I28" s="8">
        <v>2</v>
      </c>
      <c r="J28" s="8"/>
      <c r="K28" s="8">
        <v>-1</v>
      </c>
      <c r="L28" s="8">
        <v>-1</v>
      </c>
      <c r="M28" s="8">
        <v>-1</v>
      </c>
      <c r="N28" s="4" t="str">
        <f t="shared" ca="1" si="0"/>
        <v>4M2</v>
      </c>
    </row>
    <row r="29" spans="1:14">
      <c r="A29" s="4" t="s">
        <v>172</v>
      </c>
      <c r="B29" s="3" t="s">
        <v>27</v>
      </c>
      <c r="C29" s="4">
        <v>10</v>
      </c>
      <c r="D29" s="4">
        <v>1</v>
      </c>
      <c r="E29" s="4"/>
      <c r="F29" s="3">
        <v>250</v>
      </c>
      <c r="G29" s="4"/>
      <c r="H29" s="4">
        <v>1</v>
      </c>
      <c r="I29" s="4">
        <v>3</v>
      </c>
      <c r="J29" s="4"/>
      <c r="K29" s="4">
        <v>236</v>
      </c>
      <c r="L29" s="4"/>
      <c r="M29" s="4">
        <v>197</v>
      </c>
      <c r="N29" s="4" t="str">
        <f t="shared" ca="1" si="0"/>
        <v>4AP1</v>
      </c>
    </row>
    <row r="30" spans="1:14">
      <c r="A30" s="4" t="s">
        <v>173</v>
      </c>
      <c r="B30" s="3" t="s">
        <v>27</v>
      </c>
      <c r="C30" s="4">
        <v>5</v>
      </c>
      <c r="D30" s="4">
        <v>0</v>
      </c>
      <c r="E30" s="4"/>
      <c r="F30" s="3">
        <v>250</v>
      </c>
      <c r="G30" s="4"/>
      <c r="H30" s="4">
        <v>1</v>
      </c>
      <c r="I30" s="4">
        <v>3</v>
      </c>
      <c r="J30" s="4"/>
      <c r="K30" s="4">
        <v>428</v>
      </c>
      <c r="L30" s="4"/>
      <c r="M30" s="4">
        <v>395</v>
      </c>
      <c r="N30" s="4" t="str">
        <f t="shared" ca="1" si="0"/>
        <v>4AP1</v>
      </c>
    </row>
    <row r="31" spans="1:14">
      <c r="A31" s="4" t="s">
        <v>174</v>
      </c>
      <c r="B31" s="3" t="s">
        <v>27</v>
      </c>
      <c r="C31" s="4">
        <v>40</v>
      </c>
      <c r="D31" s="4">
        <v>1</v>
      </c>
      <c r="E31" s="4"/>
      <c r="F31" s="3">
        <v>250</v>
      </c>
      <c r="G31" s="4"/>
      <c r="H31" s="4">
        <v>1</v>
      </c>
      <c r="I31" s="4">
        <v>3</v>
      </c>
      <c r="J31" s="4"/>
      <c r="K31" s="4">
        <v>77</v>
      </c>
      <c r="L31" s="4"/>
      <c r="M31" s="4">
        <v>38</v>
      </c>
      <c r="N31" s="4" t="str">
        <f t="shared" ca="1" si="0"/>
        <v>4AP1</v>
      </c>
    </row>
    <row r="32" spans="1:14">
      <c r="A32" s="4" t="s">
        <v>175</v>
      </c>
      <c r="B32" s="3" t="s">
        <v>27</v>
      </c>
      <c r="C32" s="4">
        <v>20</v>
      </c>
      <c r="D32" s="4">
        <v>1</v>
      </c>
      <c r="E32" s="4"/>
      <c r="F32" s="3">
        <v>250</v>
      </c>
      <c r="G32" s="4" t="s">
        <v>176</v>
      </c>
      <c r="H32" s="4">
        <v>1</v>
      </c>
      <c r="I32" s="4">
        <v>3</v>
      </c>
      <c r="J32" s="4"/>
      <c r="K32" s="4">
        <v>109</v>
      </c>
      <c r="L32" s="4"/>
      <c r="M32" s="4">
        <v>102</v>
      </c>
      <c r="N32" s="4" t="str">
        <f t="shared" ca="1" si="0"/>
        <v>4AP1</v>
      </c>
    </row>
    <row r="33" spans="1:14">
      <c r="A33" s="4" t="s">
        <v>177</v>
      </c>
      <c r="B33" s="3" t="s">
        <v>27</v>
      </c>
      <c r="C33" s="4">
        <v>30</v>
      </c>
      <c r="D33" s="4">
        <v>1</v>
      </c>
      <c r="E33" s="4"/>
      <c r="F33" s="3">
        <v>250</v>
      </c>
      <c r="G33" s="9"/>
      <c r="H33" s="4">
        <v>1</v>
      </c>
      <c r="I33" s="4">
        <v>3</v>
      </c>
      <c r="J33" s="4"/>
      <c r="K33" s="4">
        <v>77</v>
      </c>
      <c r="L33" s="4"/>
      <c r="M33" s="4">
        <v>65</v>
      </c>
      <c r="N33" s="4" t="str">
        <f t="shared" ca="1" si="0"/>
        <v>4AP1</v>
      </c>
    </row>
    <row r="34" spans="1:14">
      <c r="A34" s="4" t="s">
        <v>178</v>
      </c>
      <c r="B34" s="3" t="s">
        <v>27</v>
      </c>
      <c r="C34" s="4">
        <v>10</v>
      </c>
      <c r="D34" s="4">
        <v>1</v>
      </c>
      <c r="E34" s="4"/>
      <c r="F34" s="3">
        <v>250</v>
      </c>
      <c r="G34" s="4"/>
      <c r="H34" s="4">
        <v>2</v>
      </c>
      <c r="I34" s="4">
        <v>3</v>
      </c>
      <c r="J34" s="4"/>
      <c r="K34" s="4">
        <v>237</v>
      </c>
      <c r="L34" s="4"/>
      <c r="M34" s="4">
        <v>191</v>
      </c>
      <c r="N34" s="4" t="str">
        <f t="shared" ref="N34:N52" ca="1" si="1">_xlfn.CONCAT(_xlfn.SHEET(A33),B34)</f>
        <v>4AP1</v>
      </c>
    </row>
    <row r="35" spans="1:14">
      <c r="A35" s="4" t="s">
        <v>179</v>
      </c>
      <c r="B35" s="3" t="s">
        <v>27</v>
      </c>
      <c r="C35" s="4">
        <v>5</v>
      </c>
      <c r="D35" s="4">
        <v>-1</v>
      </c>
      <c r="E35" s="4"/>
      <c r="F35" s="3">
        <v>250</v>
      </c>
      <c r="G35" s="4"/>
      <c r="H35" s="4">
        <v>0</v>
      </c>
      <c r="I35" s="4">
        <v>3</v>
      </c>
      <c r="J35" s="4"/>
      <c r="K35" s="4">
        <v>-1</v>
      </c>
      <c r="L35" s="4">
        <v>-1</v>
      </c>
      <c r="M35" s="4">
        <v>-1</v>
      </c>
      <c r="N35" s="4" t="str">
        <f t="shared" ca="1" si="1"/>
        <v>4AP1</v>
      </c>
    </row>
    <row r="36" spans="1:14">
      <c r="A36" s="4" t="s">
        <v>180</v>
      </c>
      <c r="B36" s="3" t="s">
        <v>27</v>
      </c>
      <c r="C36" s="4">
        <v>10</v>
      </c>
      <c r="D36" s="4">
        <v>-1</v>
      </c>
      <c r="E36" s="4"/>
      <c r="F36" s="3">
        <v>250</v>
      </c>
      <c r="G36" s="4"/>
      <c r="H36" s="4">
        <v>0</v>
      </c>
      <c r="I36" s="4">
        <v>3</v>
      </c>
      <c r="J36" s="4"/>
      <c r="K36" s="4">
        <v>-1</v>
      </c>
      <c r="L36" s="4">
        <v>-1</v>
      </c>
      <c r="M36" s="4">
        <v>-1</v>
      </c>
      <c r="N36" s="4" t="str">
        <f t="shared" ca="1" si="1"/>
        <v>4AP1</v>
      </c>
    </row>
    <row r="37" spans="1:14">
      <c r="A37" s="4" t="s">
        <v>181</v>
      </c>
      <c r="B37" s="3" t="s">
        <v>27</v>
      </c>
      <c r="C37" s="4">
        <v>20</v>
      </c>
      <c r="D37" s="4">
        <v>-1</v>
      </c>
      <c r="E37" s="4"/>
      <c r="F37" s="3">
        <v>250</v>
      </c>
      <c r="G37" s="4"/>
      <c r="H37" s="4">
        <v>0</v>
      </c>
      <c r="I37" s="4">
        <v>3</v>
      </c>
      <c r="J37" s="4"/>
      <c r="K37" s="4">
        <v>-1</v>
      </c>
      <c r="L37" s="4">
        <v>-1</v>
      </c>
      <c r="M37" s="4">
        <v>-1</v>
      </c>
      <c r="N37" s="4" t="str">
        <f t="shared" ca="1" si="1"/>
        <v>4AP1</v>
      </c>
    </row>
    <row r="38" spans="1:14">
      <c r="A38" s="4" t="s">
        <v>182</v>
      </c>
      <c r="B38" s="3" t="s">
        <v>27</v>
      </c>
      <c r="C38" s="4">
        <v>30</v>
      </c>
      <c r="D38" s="4">
        <v>-1</v>
      </c>
      <c r="E38" s="4"/>
      <c r="F38" s="3">
        <v>250</v>
      </c>
      <c r="G38" s="4"/>
      <c r="H38" s="4">
        <v>0</v>
      </c>
      <c r="I38" s="4">
        <v>3</v>
      </c>
      <c r="J38" s="4"/>
      <c r="K38" s="4">
        <v>-1</v>
      </c>
      <c r="L38" s="4">
        <v>-1</v>
      </c>
      <c r="M38" s="4">
        <v>-1</v>
      </c>
      <c r="N38" s="4" t="str">
        <f t="shared" ca="1" si="1"/>
        <v>4AP1</v>
      </c>
    </row>
    <row r="39" spans="1:14">
      <c r="A39" s="4" t="s">
        <v>183</v>
      </c>
      <c r="B39" s="3" t="s">
        <v>27</v>
      </c>
      <c r="C39" s="4">
        <v>40</v>
      </c>
      <c r="D39" s="4">
        <v>-1</v>
      </c>
      <c r="E39" s="4"/>
      <c r="F39" s="3">
        <v>250</v>
      </c>
      <c r="G39" s="4"/>
      <c r="H39" s="4">
        <v>0</v>
      </c>
      <c r="I39" s="4">
        <v>3</v>
      </c>
      <c r="J39" s="4"/>
      <c r="K39" s="4">
        <v>-1</v>
      </c>
      <c r="L39" s="4">
        <v>-1</v>
      </c>
      <c r="M39" s="4">
        <v>-1</v>
      </c>
      <c r="N39" s="4" t="str">
        <f t="shared" ca="1" si="1"/>
        <v>4AP1</v>
      </c>
    </row>
    <row r="40" spans="1:14">
      <c r="A40" s="4" t="s">
        <v>184</v>
      </c>
      <c r="B40" s="3" t="s">
        <v>27</v>
      </c>
      <c r="C40" s="4">
        <v>50</v>
      </c>
      <c r="D40" s="4">
        <v>-1</v>
      </c>
      <c r="E40" s="4"/>
      <c r="F40" s="3">
        <v>250</v>
      </c>
      <c r="G40" s="4"/>
      <c r="H40" s="4">
        <v>0</v>
      </c>
      <c r="I40" s="4">
        <v>3</v>
      </c>
      <c r="J40" s="4"/>
      <c r="K40" s="4">
        <v>-1</v>
      </c>
      <c r="L40" s="4">
        <v>-1</v>
      </c>
      <c r="M40" s="4">
        <v>-1</v>
      </c>
      <c r="N40" s="4" t="str">
        <f t="shared" ca="1" si="1"/>
        <v>4AP1</v>
      </c>
    </row>
    <row r="41" spans="1:14">
      <c r="A41" s="4" t="s">
        <v>185</v>
      </c>
      <c r="B41" s="3" t="s">
        <v>27</v>
      </c>
      <c r="C41" s="4">
        <v>60</v>
      </c>
      <c r="D41" s="4">
        <v>-1</v>
      </c>
      <c r="E41" s="4"/>
      <c r="F41" s="3">
        <v>250</v>
      </c>
      <c r="G41" s="4" t="s">
        <v>186</v>
      </c>
      <c r="H41" s="4">
        <v>0</v>
      </c>
      <c r="I41" s="4">
        <v>3</v>
      </c>
      <c r="J41" s="4"/>
      <c r="K41" s="4">
        <v>-1</v>
      </c>
      <c r="L41" s="4">
        <v>-1</v>
      </c>
      <c r="M41" s="4">
        <v>-1</v>
      </c>
      <c r="N41" s="4" t="str">
        <f t="shared" ca="1" si="1"/>
        <v>4AP1</v>
      </c>
    </row>
    <row r="42" spans="1:14">
      <c r="A42" s="8" t="s">
        <v>187</v>
      </c>
      <c r="B42" s="8" t="s">
        <v>17</v>
      </c>
      <c r="C42" s="8">
        <v>40</v>
      </c>
      <c r="D42" s="8">
        <v>0</v>
      </c>
      <c r="E42" s="8">
        <v>0</v>
      </c>
      <c r="F42" s="8">
        <v>75</v>
      </c>
      <c r="G42" s="8" t="s">
        <v>110</v>
      </c>
      <c r="H42" s="8">
        <v>1</v>
      </c>
      <c r="I42" s="8">
        <v>4</v>
      </c>
      <c r="J42" s="8"/>
      <c r="K42" s="8">
        <v>77</v>
      </c>
      <c r="L42" s="8">
        <v>58</v>
      </c>
      <c r="M42" s="8">
        <v>9999</v>
      </c>
      <c r="N42" s="4" t="str">
        <f t="shared" ca="1" si="1"/>
        <v>4AP2</v>
      </c>
    </row>
    <row r="43" spans="1:14">
      <c r="A43" s="8" t="s">
        <v>188</v>
      </c>
      <c r="B43" s="8" t="s">
        <v>17</v>
      </c>
      <c r="C43" s="8">
        <v>20</v>
      </c>
      <c r="D43" s="8">
        <v>0</v>
      </c>
      <c r="E43" s="8">
        <v>0</v>
      </c>
      <c r="F43" s="8">
        <v>75</v>
      </c>
      <c r="G43" s="8" t="s">
        <v>189</v>
      </c>
      <c r="H43" s="8">
        <v>1</v>
      </c>
      <c r="I43" s="10">
        <v>4</v>
      </c>
      <c r="J43" s="8"/>
      <c r="K43" s="8">
        <v>109</v>
      </c>
      <c r="L43" s="8">
        <v>106</v>
      </c>
      <c r="M43" s="8">
        <v>9999</v>
      </c>
      <c r="N43" s="4" t="str">
        <f t="shared" ca="1" si="1"/>
        <v>4AP2</v>
      </c>
    </row>
    <row r="44" spans="1:14">
      <c r="A44" s="8" t="s">
        <v>190</v>
      </c>
      <c r="B44" s="8" t="s">
        <v>17</v>
      </c>
      <c r="C44" s="8">
        <v>10</v>
      </c>
      <c r="D44" s="8">
        <v>0</v>
      </c>
      <c r="E44" s="8">
        <v>0</v>
      </c>
      <c r="F44" s="8">
        <v>75</v>
      </c>
      <c r="G44" s="8"/>
      <c r="H44" s="8">
        <v>1</v>
      </c>
      <c r="I44" s="8">
        <v>4</v>
      </c>
      <c r="J44" s="8"/>
      <c r="K44" s="8">
        <v>239</v>
      </c>
      <c r="L44" s="8">
        <v>205</v>
      </c>
      <c r="M44" s="8">
        <v>9999</v>
      </c>
      <c r="N44" s="4" t="str">
        <f t="shared" ca="1" si="1"/>
        <v>4AP2</v>
      </c>
    </row>
    <row r="45" spans="1:14">
      <c r="A45" s="8" t="s">
        <v>191</v>
      </c>
      <c r="B45" s="8" t="s">
        <v>17</v>
      </c>
      <c r="C45" s="8">
        <v>5</v>
      </c>
      <c r="D45" s="8">
        <v>0</v>
      </c>
      <c r="E45" s="8">
        <v>0</v>
      </c>
      <c r="F45" s="8">
        <v>75</v>
      </c>
      <c r="G45" s="8"/>
      <c r="H45" s="8">
        <v>1</v>
      </c>
      <c r="I45" s="10">
        <v>4</v>
      </c>
      <c r="J45" s="8"/>
      <c r="K45" s="8">
        <v>429</v>
      </c>
      <c r="L45" s="8">
        <v>403</v>
      </c>
      <c r="M45" s="8">
        <v>9999</v>
      </c>
      <c r="N45" s="4" t="str">
        <f t="shared" ca="1" si="1"/>
        <v>4AP2</v>
      </c>
    </row>
    <row r="46" spans="1:14">
      <c r="A46" s="8" t="s">
        <v>192</v>
      </c>
      <c r="B46" s="8" t="s">
        <v>17</v>
      </c>
      <c r="C46" s="8">
        <v>30</v>
      </c>
      <c r="D46" s="8">
        <v>0</v>
      </c>
      <c r="E46" s="8">
        <v>1</v>
      </c>
      <c r="F46" s="8">
        <v>75</v>
      </c>
      <c r="G46" s="8"/>
      <c r="H46" s="8">
        <v>1</v>
      </c>
      <c r="I46" s="8">
        <v>4</v>
      </c>
      <c r="J46" s="8"/>
      <c r="K46" s="8">
        <v>77</v>
      </c>
      <c r="L46" s="8">
        <v>72</v>
      </c>
      <c r="M46" s="8">
        <v>80</v>
      </c>
      <c r="N46" s="4" t="str">
        <f t="shared" ca="1" si="1"/>
        <v>4AP2</v>
      </c>
    </row>
    <row r="47" spans="1:14">
      <c r="A47" s="8" t="s">
        <v>193</v>
      </c>
      <c r="B47" s="8" t="s">
        <v>17</v>
      </c>
      <c r="C47" s="8">
        <v>40</v>
      </c>
      <c r="D47" s="8">
        <v>0</v>
      </c>
      <c r="E47" s="8">
        <v>1</v>
      </c>
      <c r="F47" s="8">
        <v>75</v>
      </c>
      <c r="G47" s="8" t="s">
        <v>194</v>
      </c>
      <c r="H47" s="8">
        <v>2</v>
      </c>
      <c r="I47" s="10">
        <v>4</v>
      </c>
      <c r="J47" s="8"/>
      <c r="K47" s="8">
        <v>77</v>
      </c>
      <c r="L47" s="8">
        <v>57</v>
      </c>
      <c r="M47" s="8">
        <v>58</v>
      </c>
      <c r="N47" s="4" t="str">
        <f t="shared" ca="1" si="1"/>
        <v>4AP2</v>
      </c>
    </row>
    <row r="48" spans="1:14">
      <c r="A48" s="8" t="s">
        <v>195</v>
      </c>
      <c r="B48" s="8" t="s">
        <v>17</v>
      </c>
      <c r="C48" s="8">
        <v>5</v>
      </c>
      <c r="D48" s="8">
        <v>-1</v>
      </c>
      <c r="E48" s="8"/>
      <c r="F48" s="8">
        <v>75</v>
      </c>
      <c r="G48" s="8"/>
      <c r="H48" s="8">
        <v>0</v>
      </c>
      <c r="I48" s="8">
        <v>4</v>
      </c>
      <c r="J48" s="8"/>
      <c r="K48" s="8">
        <v>-1</v>
      </c>
      <c r="L48" s="8">
        <v>-1</v>
      </c>
      <c r="M48" s="8">
        <v>-1</v>
      </c>
      <c r="N48" s="4" t="str">
        <f t="shared" ca="1" si="1"/>
        <v>4AP2</v>
      </c>
    </row>
    <row r="49" spans="1:14">
      <c r="A49" s="8" t="s">
        <v>196</v>
      </c>
      <c r="B49" s="8" t="s">
        <v>17</v>
      </c>
      <c r="C49" s="8">
        <v>10</v>
      </c>
      <c r="D49" s="8">
        <v>-1</v>
      </c>
      <c r="E49" s="8"/>
      <c r="F49" s="8">
        <v>75</v>
      </c>
      <c r="G49" s="8"/>
      <c r="H49" s="8">
        <v>0</v>
      </c>
      <c r="I49" s="10">
        <v>4</v>
      </c>
      <c r="J49" s="8"/>
      <c r="K49" s="8">
        <v>-1</v>
      </c>
      <c r="L49" s="8">
        <v>-1</v>
      </c>
      <c r="M49" s="8">
        <v>-1</v>
      </c>
      <c r="N49" s="4" t="str">
        <f t="shared" ca="1" si="1"/>
        <v>4AP2</v>
      </c>
    </row>
    <row r="50" spans="1:14">
      <c r="A50" s="8" t="s">
        <v>197</v>
      </c>
      <c r="B50" s="8" t="s">
        <v>17</v>
      </c>
      <c r="C50" s="8">
        <v>20</v>
      </c>
      <c r="D50" s="8">
        <v>-1</v>
      </c>
      <c r="E50" s="8"/>
      <c r="F50" s="8">
        <v>75</v>
      </c>
      <c r="G50" s="8"/>
      <c r="H50" s="8">
        <v>0</v>
      </c>
      <c r="I50" s="8">
        <v>4</v>
      </c>
      <c r="J50" s="8"/>
      <c r="K50" s="8">
        <v>-1</v>
      </c>
      <c r="L50" s="8">
        <v>-1</v>
      </c>
      <c r="M50" s="8">
        <v>-1</v>
      </c>
      <c r="N50" s="4" t="str">
        <f t="shared" ca="1" si="1"/>
        <v>4AP2</v>
      </c>
    </row>
    <row r="51" spans="1:14">
      <c r="A51" s="8" t="s">
        <v>198</v>
      </c>
      <c r="B51" s="8" t="s">
        <v>17</v>
      </c>
      <c r="C51" s="8">
        <v>30</v>
      </c>
      <c r="D51" s="8">
        <v>-1</v>
      </c>
      <c r="E51" s="8"/>
      <c r="F51" s="8">
        <v>75</v>
      </c>
      <c r="G51" s="8"/>
      <c r="H51" s="8">
        <v>0</v>
      </c>
      <c r="I51" s="10">
        <v>4</v>
      </c>
      <c r="J51" s="8"/>
      <c r="K51" s="8">
        <v>-1</v>
      </c>
      <c r="L51" s="8">
        <v>-1</v>
      </c>
      <c r="M51" s="8">
        <v>-1</v>
      </c>
      <c r="N51" s="4" t="str">
        <f t="shared" ca="1" si="1"/>
        <v>4AP2</v>
      </c>
    </row>
    <row r="52" spans="1:14">
      <c r="A52" s="8" t="s">
        <v>199</v>
      </c>
      <c r="B52" s="8" t="s">
        <v>17</v>
      </c>
      <c r="C52" s="8">
        <v>40</v>
      </c>
      <c r="D52" s="8">
        <v>-1</v>
      </c>
      <c r="E52" s="8"/>
      <c r="F52" s="8">
        <v>75</v>
      </c>
      <c r="G52" s="8"/>
      <c r="H52" s="8">
        <v>0</v>
      </c>
      <c r="I52" s="8">
        <v>4</v>
      </c>
      <c r="J52" s="8"/>
      <c r="K52" s="8">
        <v>-1</v>
      </c>
      <c r="L52" s="8">
        <v>-1</v>
      </c>
      <c r="M52" s="8">
        <v>-1</v>
      </c>
      <c r="N52" s="4" t="str">
        <f t="shared" ca="1" si="1"/>
        <v>4AP2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topLeftCell="C1"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3.59765625" style="1" customWidth="1"/>
    <col min="4" max="4" width="5.09765625" style="1" customWidth="1"/>
    <col min="5" max="5" width="4.5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200</v>
      </c>
      <c r="B2" s="6" t="s">
        <v>24</v>
      </c>
      <c r="C2" s="6">
        <v>20</v>
      </c>
      <c r="D2" s="6">
        <v>0</v>
      </c>
      <c r="E2" s="6">
        <v>1</v>
      </c>
      <c r="F2" s="4">
        <v>75</v>
      </c>
      <c r="G2" s="4" t="s">
        <v>201</v>
      </c>
      <c r="H2" s="4">
        <v>1</v>
      </c>
      <c r="I2" s="4">
        <v>1</v>
      </c>
      <c r="J2" s="4">
        <f>MAX(I:I)</f>
        <v>5</v>
      </c>
      <c r="K2" s="4">
        <v>109</v>
      </c>
      <c r="L2" s="4"/>
      <c r="M2" s="4">
        <v>110</v>
      </c>
      <c r="N2" s="4" t="str">
        <f t="shared" ref="N2:N33" ca="1" si="0">_xlfn.CONCAT(_xlfn.SHEET(A1),B2)</f>
        <v>5M1</v>
      </c>
    </row>
    <row r="3" spans="1:14">
      <c r="A3" s="5" t="s">
        <v>202</v>
      </c>
      <c r="B3" s="6" t="s">
        <v>24</v>
      </c>
      <c r="C3" s="6">
        <v>5</v>
      </c>
      <c r="D3" s="6">
        <v>0</v>
      </c>
      <c r="E3" s="6"/>
      <c r="F3" s="4">
        <v>75</v>
      </c>
      <c r="G3" s="4" t="s">
        <v>203</v>
      </c>
      <c r="H3" s="4">
        <v>1</v>
      </c>
      <c r="I3" s="4">
        <v>1</v>
      </c>
      <c r="J3" s="4"/>
      <c r="K3" s="4">
        <v>429</v>
      </c>
      <c r="L3" s="4"/>
      <c r="M3" s="4">
        <v>623</v>
      </c>
      <c r="N3" s="4" t="str">
        <f t="shared" ca="1" si="0"/>
        <v>5M1</v>
      </c>
    </row>
    <row r="4" spans="1:14">
      <c r="A4" s="5" t="s">
        <v>204</v>
      </c>
      <c r="B4" s="6" t="s">
        <v>24</v>
      </c>
      <c r="C4" s="6">
        <v>40</v>
      </c>
      <c r="D4" s="6">
        <v>0</v>
      </c>
      <c r="E4" s="6"/>
      <c r="F4" s="4">
        <v>75</v>
      </c>
      <c r="G4" s="4"/>
      <c r="H4" s="4">
        <v>1</v>
      </c>
      <c r="I4" s="4">
        <v>1</v>
      </c>
      <c r="J4" s="4"/>
      <c r="K4" s="4">
        <v>77</v>
      </c>
      <c r="L4" s="4"/>
      <c r="M4" s="4">
        <v>60</v>
      </c>
      <c r="N4" s="4" t="str">
        <f t="shared" ca="1" si="0"/>
        <v>5M1</v>
      </c>
    </row>
    <row r="5" spans="1:14">
      <c r="A5" s="4" t="s">
        <v>205</v>
      </c>
      <c r="B5" s="6" t="s">
        <v>24</v>
      </c>
      <c r="C5" s="4">
        <v>10</v>
      </c>
      <c r="D5" s="4">
        <v>0</v>
      </c>
      <c r="E5" s="4"/>
      <c r="F5" s="4">
        <v>75</v>
      </c>
      <c r="G5" s="4" t="s">
        <v>206</v>
      </c>
      <c r="H5" s="4">
        <v>1</v>
      </c>
      <c r="I5" s="4">
        <v>1</v>
      </c>
      <c r="J5" s="4"/>
      <c r="K5" s="4">
        <v>236</v>
      </c>
      <c r="L5" s="4"/>
      <c r="M5" s="4">
        <v>198</v>
      </c>
      <c r="N5" s="4" t="str">
        <f t="shared" ca="1" si="0"/>
        <v>5M1</v>
      </c>
    </row>
    <row r="6" spans="1:14">
      <c r="A6" s="4" t="s">
        <v>207</v>
      </c>
      <c r="B6" s="6" t="s">
        <v>24</v>
      </c>
      <c r="C6" s="4">
        <v>30</v>
      </c>
      <c r="D6" s="4">
        <v>0</v>
      </c>
      <c r="E6" s="4"/>
      <c r="F6" s="4">
        <v>75</v>
      </c>
      <c r="G6" s="4"/>
      <c r="H6" s="4">
        <v>1</v>
      </c>
      <c r="I6" s="4">
        <v>1</v>
      </c>
      <c r="J6" s="4"/>
      <c r="K6" s="4">
        <v>76</v>
      </c>
      <c r="L6" s="4"/>
      <c r="M6" s="4">
        <v>83</v>
      </c>
      <c r="N6" s="4" t="str">
        <f t="shared" ca="1" si="0"/>
        <v>5M1</v>
      </c>
    </row>
    <row r="7" spans="1:14">
      <c r="A7" s="11" t="s">
        <v>208</v>
      </c>
      <c r="B7" s="12" t="s">
        <v>24</v>
      </c>
      <c r="C7" s="11">
        <v>10</v>
      </c>
      <c r="D7" s="11">
        <v>0</v>
      </c>
      <c r="E7" s="11"/>
      <c r="F7" s="11">
        <v>75</v>
      </c>
      <c r="G7" s="11" t="s">
        <v>209</v>
      </c>
      <c r="H7" s="11">
        <v>0</v>
      </c>
      <c r="I7" s="11">
        <v>1</v>
      </c>
      <c r="J7" s="4"/>
      <c r="K7" s="4">
        <v>-1</v>
      </c>
      <c r="L7" s="4">
        <v>-1</v>
      </c>
      <c r="M7" s="4">
        <v>-1</v>
      </c>
      <c r="N7" s="4" t="str">
        <f t="shared" ca="1" si="0"/>
        <v>5M1</v>
      </c>
    </row>
    <row r="8" spans="1:14">
      <c r="A8" s="4" t="s">
        <v>210</v>
      </c>
      <c r="B8" s="6" t="s">
        <v>24</v>
      </c>
      <c r="C8" s="4">
        <v>5</v>
      </c>
      <c r="D8" s="4">
        <v>-1</v>
      </c>
      <c r="E8" s="4"/>
      <c r="F8" s="4">
        <v>75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4" t="str">
        <f t="shared" ca="1" si="0"/>
        <v>5M1</v>
      </c>
    </row>
    <row r="9" spans="1:14">
      <c r="A9" s="4" t="s">
        <v>211</v>
      </c>
      <c r="B9" s="6" t="s">
        <v>24</v>
      </c>
      <c r="C9" s="4">
        <v>10</v>
      </c>
      <c r="D9" s="4">
        <v>-1</v>
      </c>
      <c r="E9" s="4"/>
      <c r="F9" s="4">
        <v>75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5M1</v>
      </c>
    </row>
    <row r="10" spans="1:14">
      <c r="A10" s="4" t="s">
        <v>212</v>
      </c>
      <c r="B10" s="6" t="s">
        <v>24</v>
      </c>
      <c r="C10" s="4">
        <v>20</v>
      </c>
      <c r="D10" s="4">
        <v>-1</v>
      </c>
      <c r="E10" s="4"/>
      <c r="F10" s="4">
        <v>75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5M1</v>
      </c>
    </row>
    <row r="11" spans="1:14">
      <c r="A11" s="4" t="s">
        <v>213</v>
      </c>
      <c r="B11" s="6" t="s">
        <v>24</v>
      </c>
      <c r="C11" s="4">
        <v>30</v>
      </c>
      <c r="D11" s="4">
        <v>-1</v>
      </c>
      <c r="E11" s="4"/>
      <c r="F11" s="4">
        <v>75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5M1</v>
      </c>
    </row>
    <row r="12" spans="1:14">
      <c r="A12" s="3" t="s">
        <v>214</v>
      </c>
      <c r="B12" s="6" t="s">
        <v>24</v>
      </c>
      <c r="C12" s="3">
        <v>40</v>
      </c>
      <c r="D12" s="4">
        <v>-1</v>
      </c>
      <c r="E12" s="4"/>
      <c r="F12" s="4">
        <v>75</v>
      </c>
      <c r="G12" s="3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5M1</v>
      </c>
    </row>
    <row r="13" spans="1:14">
      <c r="A13" s="4" t="s">
        <v>215</v>
      </c>
      <c r="B13" s="6" t="s">
        <v>24</v>
      </c>
      <c r="C13" s="4">
        <v>50</v>
      </c>
      <c r="D13" s="4">
        <v>-1</v>
      </c>
      <c r="E13" s="4"/>
      <c r="F13" s="4">
        <v>75</v>
      </c>
      <c r="G13" s="4"/>
      <c r="H13" s="4">
        <v>0</v>
      </c>
      <c r="I13" s="4">
        <v>1</v>
      </c>
      <c r="J13" s="4"/>
      <c r="K13" s="4">
        <v>-1</v>
      </c>
      <c r="L13" s="4">
        <v>-1</v>
      </c>
      <c r="M13" s="4">
        <v>-1</v>
      </c>
      <c r="N13" s="4" t="str">
        <f t="shared" ca="1" si="0"/>
        <v>5M1</v>
      </c>
    </row>
    <row r="14" spans="1:14">
      <c r="A14" s="7" t="s">
        <v>216</v>
      </c>
      <c r="B14" s="8" t="s">
        <v>156</v>
      </c>
      <c r="C14" s="7">
        <v>5</v>
      </c>
      <c r="D14" s="8">
        <v>1</v>
      </c>
      <c r="E14" s="8"/>
      <c r="F14" s="8">
        <v>250</v>
      </c>
      <c r="G14" s="7" t="s">
        <v>217</v>
      </c>
      <c r="H14" s="8">
        <v>1</v>
      </c>
      <c r="I14" s="8">
        <v>2</v>
      </c>
      <c r="J14" s="8"/>
      <c r="K14" s="8">
        <v>428</v>
      </c>
      <c r="L14" s="8"/>
      <c r="M14" s="8">
        <v>338</v>
      </c>
      <c r="N14" s="4" t="str">
        <f t="shared" ca="1" si="0"/>
        <v>5M2</v>
      </c>
    </row>
    <row r="15" spans="1:14">
      <c r="A15" s="7" t="s">
        <v>218</v>
      </c>
      <c r="B15" s="8" t="s">
        <v>156</v>
      </c>
      <c r="C15" s="7">
        <v>40</v>
      </c>
      <c r="D15" s="8">
        <v>1</v>
      </c>
      <c r="E15" s="8"/>
      <c r="F15" s="8">
        <v>250</v>
      </c>
      <c r="G15" s="7"/>
      <c r="H15" s="8">
        <v>1</v>
      </c>
      <c r="I15" s="8">
        <v>2</v>
      </c>
      <c r="J15" s="8"/>
      <c r="K15" s="8">
        <v>78</v>
      </c>
      <c r="L15" s="8"/>
      <c r="M15" s="8">
        <v>51</v>
      </c>
      <c r="N15" s="4" t="str">
        <f t="shared" ca="1" si="0"/>
        <v>5M2</v>
      </c>
    </row>
    <row r="16" spans="1:14">
      <c r="A16" s="7" t="s">
        <v>219</v>
      </c>
      <c r="B16" s="8" t="s">
        <v>156</v>
      </c>
      <c r="C16" s="7">
        <v>10</v>
      </c>
      <c r="D16" s="8">
        <v>0</v>
      </c>
      <c r="E16" s="8"/>
      <c r="F16" s="8">
        <v>250</v>
      </c>
      <c r="G16" s="7"/>
      <c r="H16" s="8">
        <v>1</v>
      </c>
      <c r="I16" s="8">
        <v>2</v>
      </c>
      <c r="J16" s="8"/>
      <c r="K16" s="8">
        <v>237</v>
      </c>
      <c r="L16" s="8"/>
      <c r="M16" s="8">
        <v>9999</v>
      </c>
      <c r="N16" s="4" t="str">
        <f t="shared" ca="1" si="0"/>
        <v>5M2</v>
      </c>
    </row>
    <row r="17" spans="1:14">
      <c r="A17" s="7" t="s">
        <v>220</v>
      </c>
      <c r="B17" s="8" t="s">
        <v>156</v>
      </c>
      <c r="C17" s="7">
        <v>20</v>
      </c>
      <c r="D17" s="8">
        <v>0</v>
      </c>
      <c r="E17" s="8"/>
      <c r="F17" s="8">
        <v>250</v>
      </c>
      <c r="G17" s="7" t="s">
        <v>221</v>
      </c>
      <c r="H17" s="8">
        <v>1</v>
      </c>
      <c r="I17" s="8">
        <v>2</v>
      </c>
      <c r="J17" s="8"/>
      <c r="K17" s="8">
        <v>109</v>
      </c>
      <c r="L17" s="8"/>
      <c r="M17" s="8">
        <v>111</v>
      </c>
      <c r="N17" s="4" t="str">
        <f t="shared" ca="1" si="0"/>
        <v>5M2</v>
      </c>
    </row>
    <row r="18" spans="1:14">
      <c r="A18" s="7" t="s">
        <v>222</v>
      </c>
      <c r="B18" s="8" t="s">
        <v>156</v>
      </c>
      <c r="C18" s="7">
        <v>30</v>
      </c>
      <c r="D18" s="8">
        <v>0</v>
      </c>
      <c r="E18" s="8"/>
      <c r="F18" s="8">
        <v>250</v>
      </c>
      <c r="G18" s="7" t="s">
        <v>194</v>
      </c>
      <c r="H18" s="8">
        <v>1</v>
      </c>
      <c r="I18" s="8">
        <v>2</v>
      </c>
      <c r="J18" s="8"/>
      <c r="K18" s="8">
        <v>77</v>
      </c>
      <c r="L18" s="8"/>
      <c r="M18" s="8">
        <v>71</v>
      </c>
      <c r="N18" s="4" t="str">
        <f t="shared" ca="1" si="0"/>
        <v>5M2</v>
      </c>
    </row>
    <row r="19" spans="1:14" s="14" customFormat="1">
      <c r="A19" s="13" t="s">
        <v>223</v>
      </c>
      <c r="B19" s="14" t="s">
        <v>156</v>
      </c>
      <c r="C19" s="13">
        <v>5</v>
      </c>
      <c r="D19" s="14">
        <v>0</v>
      </c>
      <c r="F19" s="14">
        <v>250</v>
      </c>
      <c r="G19" s="13"/>
      <c r="H19" s="14">
        <v>2</v>
      </c>
      <c r="I19" s="14">
        <v>2</v>
      </c>
      <c r="K19" s="14">
        <v>429</v>
      </c>
      <c r="L19" s="14">
        <v>-1</v>
      </c>
      <c r="M19" s="14">
        <v>405</v>
      </c>
      <c r="N19" s="4" t="str">
        <f t="shared" ca="1" si="0"/>
        <v>5M2</v>
      </c>
    </row>
    <row r="20" spans="1:14">
      <c r="A20" s="7" t="s">
        <v>224</v>
      </c>
      <c r="B20" s="8" t="s">
        <v>156</v>
      </c>
      <c r="C20" s="7">
        <v>5</v>
      </c>
      <c r="D20" s="8">
        <v>-1</v>
      </c>
      <c r="E20" s="8"/>
      <c r="F20" s="8">
        <v>250</v>
      </c>
      <c r="G20" s="7"/>
      <c r="H20" s="8">
        <v>0</v>
      </c>
      <c r="I20" s="8">
        <v>2</v>
      </c>
      <c r="J20" s="8"/>
      <c r="K20" s="8">
        <v>-1</v>
      </c>
      <c r="L20" s="8">
        <v>-1</v>
      </c>
      <c r="M20" s="8">
        <v>-1</v>
      </c>
      <c r="N20" s="4" t="str">
        <f t="shared" ca="1" si="0"/>
        <v>5M2</v>
      </c>
    </row>
    <row r="21" spans="1:14">
      <c r="A21" s="8" t="s">
        <v>225</v>
      </c>
      <c r="B21" s="8" t="s">
        <v>156</v>
      </c>
      <c r="C21" s="8">
        <v>10</v>
      </c>
      <c r="D21" s="8">
        <v>-1</v>
      </c>
      <c r="E21" s="8"/>
      <c r="F21" s="8">
        <v>250</v>
      </c>
      <c r="G21" s="8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5M2</v>
      </c>
    </row>
    <row r="22" spans="1:14">
      <c r="A22" s="8" t="s">
        <v>226</v>
      </c>
      <c r="B22" s="8" t="s">
        <v>156</v>
      </c>
      <c r="C22" s="8">
        <v>20</v>
      </c>
      <c r="D22" s="8">
        <v>-1</v>
      </c>
      <c r="E22" s="8"/>
      <c r="F22" s="8">
        <v>250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5M2</v>
      </c>
    </row>
    <row r="23" spans="1:14">
      <c r="A23" s="8" t="s">
        <v>227</v>
      </c>
      <c r="B23" s="8" t="s">
        <v>156</v>
      </c>
      <c r="C23" s="8">
        <v>30</v>
      </c>
      <c r="D23" s="8">
        <v>-1</v>
      </c>
      <c r="E23" s="8"/>
      <c r="F23" s="8">
        <v>250</v>
      </c>
      <c r="G23" s="8"/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5M2</v>
      </c>
    </row>
    <row r="24" spans="1:14">
      <c r="A24" s="8" t="s">
        <v>228</v>
      </c>
      <c r="B24" s="8" t="s">
        <v>156</v>
      </c>
      <c r="C24" s="8">
        <v>40</v>
      </c>
      <c r="D24" s="8">
        <v>-1</v>
      </c>
      <c r="E24" s="8"/>
      <c r="F24" s="8">
        <v>250</v>
      </c>
      <c r="G24" s="8"/>
      <c r="H24" s="8">
        <v>0</v>
      </c>
      <c r="I24" s="8">
        <v>2</v>
      </c>
      <c r="J24" s="8"/>
      <c r="K24" s="8">
        <v>-1</v>
      </c>
      <c r="L24" s="8">
        <v>-1</v>
      </c>
      <c r="M24" s="8">
        <v>-1</v>
      </c>
      <c r="N24" s="4" t="str">
        <f t="shared" ca="1" si="0"/>
        <v>5M2</v>
      </c>
    </row>
    <row r="25" spans="1:14">
      <c r="A25" s="4" t="s">
        <v>229</v>
      </c>
      <c r="B25" s="3" t="s">
        <v>27</v>
      </c>
      <c r="C25" s="4">
        <v>10</v>
      </c>
      <c r="D25" s="4">
        <v>1</v>
      </c>
      <c r="E25" s="4"/>
      <c r="F25" s="3">
        <v>250</v>
      </c>
      <c r="G25" s="4"/>
      <c r="H25" s="4">
        <v>1</v>
      </c>
      <c r="I25" s="4">
        <v>3</v>
      </c>
      <c r="J25" s="4"/>
      <c r="K25" s="4">
        <v>238</v>
      </c>
      <c r="L25" s="4"/>
      <c r="M25" s="4">
        <v>181</v>
      </c>
      <c r="N25" s="4" t="str">
        <f t="shared" ca="1" si="0"/>
        <v>5AP1</v>
      </c>
    </row>
    <row r="26" spans="1:14">
      <c r="A26" s="4" t="s">
        <v>230</v>
      </c>
      <c r="B26" s="3" t="s">
        <v>27</v>
      </c>
      <c r="C26" s="4">
        <v>40</v>
      </c>
      <c r="D26" s="4">
        <v>1</v>
      </c>
      <c r="E26" s="4"/>
      <c r="F26" s="3">
        <v>250</v>
      </c>
      <c r="G26" s="4" t="s">
        <v>231</v>
      </c>
      <c r="H26" s="4">
        <v>1</v>
      </c>
      <c r="I26" s="4">
        <v>3</v>
      </c>
      <c r="J26" s="4"/>
      <c r="K26" s="4">
        <v>78</v>
      </c>
      <c r="L26" s="4"/>
      <c r="M26" s="4">
        <v>19</v>
      </c>
      <c r="N26" s="4" t="str">
        <f t="shared" ca="1" si="0"/>
        <v>5AP1</v>
      </c>
    </row>
    <row r="27" spans="1:14" s="14" customFormat="1">
      <c r="A27" s="14" t="s">
        <v>232</v>
      </c>
      <c r="B27" s="13" t="s">
        <v>27</v>
      </c>
      <c r="C27" s="14">
        <v>20</v>
      </c>
      <c r="D27" s="14">
        <v>1</v>
      </c>
      <c r="F27" s="13">
        <v>250</v>
      </c>
      <c r="G27" s="14" t="s">
        <v>233</v>
      </c>
      <c r="H27" s="14">
        <v>1</v>
      </c>
      <c r="I27" s="14">
        <v>3</v>
      </c>
      <c r="K27" s="14">
        <v>110</v>
      </c>
      <c r="M27" s="14">
        <v>18</v>
      </c>
      <c r="N27" s="4" t="str">
        <f t="shared" ca="1" si="0"/>
        <v>5AP1</v>
      </c>
    </row>
    <row r="28" spans="1:14">
      <c r="A28" s="4" t="s">
        <v>234</v>
      </c>
      <c r="B28" s="3" t="s">
        <v>27</v>
      </c>
      <c r="C28" s="4">
        <v>5</v>
      </c>
      <c r="D28" s="4">
        <v>0</v>
      </c>
      <c r="E28" s="4"/>
      <c r="F28" s="3">
        <v>250</v>
      </c>
      <c r="G28" s="4" t="s">
        <v>235</v>
      </c>
      <c r="H28" s="4">
        <v>1</v>
      </c>
      <c r="I28" s="4">
        <v>3</v>
      </c>
      <c r="J28" s="4"/>
      <c r="K28" s="4">
        <v>429</v>
      </c>
      <c r="L28" s="4"/>
      <c r="M28" s="4">
        <v>409</v>
      </c>
      <c r="N28" s="4" t="str">
        <f t="shared" ca="1" si="0"/>
        <v>5AP1</v>
      </c>
    </row>
    <row r="29" spans="1:14">
      <c r="A29" s="4" t="s">
        <v>236</v>
      </c>
      <c r="B29" s="3" t="s">
        <v>27</v>
      </c>
      <c r="C29" s="4">
        <v>30</v>
      </c>
      <c r="D29" s="4">
        <v>1</v>
      </c>
      <c r="E29" s="4"/>
      <c r="F29" s="3">
        <v>250</v>
      </c>
      <c r="G29" s="9"/>
      <c r="H29" s="4">
        <v>1</v>
      </c>
      <c r="I29" s="4">
        <v>3</v>
      </c>
      <c r="J29" s="4"/>
      <c r="K29" s="4">
        <v>77</v>
      </c>
      <c r="L29" s="4"/>
      <c r="M29" s="4">
        <v>43</v>
      </c>
      <c r="N29" s="4" t="str">
        <f t="shared" ca="1" si="0"/>
        <v>5AP1</v>
      </c>
    </row>
    <row r="30" spans="1:14">
      <c r="A30" s="4" t="s">
        <v>237</v>
      </c>
      <c r="B30" s="3" t="s">
        <v>27</v>
      </c>
      <c r="C30" s="4">
        <v>10</v>
      </c>
      <c r="D30" s="4">
        <v>1</v>
      </c>
      <c r="E30" s="4"/>
      <c r="F30" s="3">
        <v>250</v>
      </c>
      <c r="G30" s="4"/>
      <c r="H30" s="4">
        <v>2</v>
      </c>
      <c r="I30" s="4">
        <v>3</v>
      </c>
      <c r="J30" s="4"/>
      <c r="K30" s="4">
        <v>238</v>
      </c>
      <c r="L30" s="4"/>
      <c r="M30" s="4">
        <v>193</v>
      </c>
      <c r="N30" s="4" t="str">
        <f t="shared" ca="1" si="0"/>
        <v>5AP1</v>
      </c>
    </row>
    <row r="31" spans="1:14">
      <c r="A31" s="4" t="s">
        <v>238</v>
      </c>
      <c r="B31" s="3" t="s">
        <v>27</v>
      </c>
      <c r="C31" s="4">
        <v>5</v>
      </c>
      <c r="D31" s="4">
        <v>-1</v>
      </c>
      <c r="E31" s="4"/>
      <c r="F31" s="3">
        <v>250</v>
      </c>
      <c r="G31" s="4"/>
      <c r="H31" s="4">
        <v>0</v>
      </c>
      <c r="I31" s="4">
        <v>3</v>
      </c>
      <c r="J31" s="4"/>
      <c r="K31" s="4">
        <v>-1</v>
      </c>
      <c r="L31" s="4">
        <v>-1</v>
      </c>
      <c r="M31" s="4">
        <v>-1</v>
      </c>
      <c r="N31" s="4" t="str">
        <f t="shared" ca="1" si="0"/>
        <v>5AP1</v>
      </c>
    </row>
    <row r="32" spans="1:14">
      <c r="A32" s="4" t="s">
        <v>239</v>
      </c>
      <c r="B32" s="3" t="s">
        <v>27</v>
      </c>
      <c r="C32" s="4">
        <v>10</v>
      </c>
      <c r="D32" s="4">
        <v>-1</v>
      </c>
      <c r="E32" s="4"/>
      <c r="F32" s="3">
        <v>250</v>
      </c>
      <c r="G32" s="4"/>
      <c r="H32" s="4">
        <v>0</v>
      </c>
      <c r="I32" s="4">
        <v>3</v>
      </c>
      <c r="J32" s="4"/>
      <c r="K32" s="4">
        <v>-1</v>
      </c>
      <c r="L32" s="4">
        <v>-1</v>
      </c>
      <c r="M32" s="4">
        <v>-1</v>
      </c>
      <c r="N32" s="4" t="str">
        <f t="shared" ca="1" si="0"/>
        <v>5AP1</v>
      </c>
    </row>
    <row r="33" spans="1:14">
      <c r="A33" s="4" t="s">
        <v>240</v>
      </c>
      <c r="B33" s="3" t="s">
        <v>27</v>
      </c>
      <c r="C33" s="4">
        <v>20</v>
      </c>
      <c r="D33" s="4">
        <v>-1</v>
      </c>
      <c r="E33" s="4"/>
      <c r="F33" s="3">
        <v>250</v>
      </c>
      <c r="G33" s="4"/>
      <c r="H33" s="4">
        <v>0</v>
      </c>
      <c r="I33" s="4">
        <v>3</v>
      </c>
      <c r="J33" s="4"/>
      <c r="K33" s="4">
        <v>-1</v>
      </c>
      <c r="L33" s="4">
        <v>-1</v>
      </c>
      <c r="M33" s="4">
        <v>-1</v>
      </c>
      <c r="N33" s="4" t="str">
        <f t="shared" ca="1" si="0"/>
        <v>5AP1</v>
      </c>
    </row>
    <row r="34" spans="1:14">
      <c r="A34" s="4" t="s">
        <v>241</v>
      </c>
      <c r="B34" s="3" t="s">
        <v>27</v>
      </c>
      <c r="C34" s="4">
        <v>30</v>
      </c>
      <c r="D34" s="4">
        <v>-1</v>
      </c>
      <c r="E34" s="4"/>
      <c r="F34" s="3">
        <v>250</v>
      </c>
      <c r="G34" s="4"/>
      <c r="H34" s="4">
        <v>0</v>
      </c>
      <c r="I34" s="4">
        <v>3</v>
      </c>
      <c r="J34" s="4"/>
      <c r="K34" s="4">
        <v>-1</v>
      </c>
      <c r="L34" s="4">
        <v>-1</v>
      </c>
      <c r="M34" s="4">
        <v>-1</v>
      </c>
      <c r="N34" s="4" t="str">
        <f t="shared" ref="N34:N57" ca="1" si="1">_xlfn.CONCAT(_xlfn.SHEET(A33),B34)</f>
        <v>5AP1</v>
      </c>
    </row>
    <row r="35" spans="1:14">
      <c r="A35" s="4" t="s">
        <v>242</v>
      </c>
      <c r="B35" s="3" t="s">
        <v>27</v>
      </c>
      <c r="C35" s="4">
        <v>40</v>
      </c>
      <c r="D35" s="4">
        <v>-1</v>
      </c>
      <c r="E35" s="4"/>
      <c r="F35" s="3">
        <v>250</v>
      </c>
      <c r="G35" s="4"/>
      <c r="H35" s="4">
        <v>0</v>
      </c>
      <c r="I35" s="4">
        <v>3</v>
      </c>
      <c r="J35" s="4"/>
      <c r="K35" s="4">
        <v>-1</v>
      </c>
      <c r="L35" s="4">
        <v>-1</v>
      </c>
      <c r="M35" s="4">
        <v>-1</v>
      </c>
      <c r="N35" s="4" t="str">
        <f t="shared" ca="1" si="1"/>
        <v>5AP1</v>
      </c>
    </row>
    <row r="36" spans="1:14">
      <c r="A36" s="4" t="s">
        <v>243</v>
      </c>
      <c r="B36" s="3" t="s">
        <v>27</v>
      </c>
      <c r="C36" s="4">
        <v>50</v>
      </c>
      <c r="D36" s="4">
        <v>-1</v>
      </c>
      <c r="E36" s="4"/>
      <c r="F36" s="3">
        <v>250</v>
      </c>
      <c r="G36" s="4"/>
      <c r="H36" s="4">
        <v>0</v>
      </c>
      <c r="I36" s="4">
        <v>3</v>
      </c>
      <c r="J36" s="4"/>
      <c r="K36" s="4">
        <v>-1</v>
      </c>
      <c r="L36" s="4">
        <v>-1</v>
      </c>
      <c r="M36" s="4">
        <v>-1</v>
      </c>
      <c r="N36" s="4" t="str">
        <f t="shared" ca="1" si="1"/>
        <v>5AP1</v>
      </c>
    </row>
    <row r="37" spans="1:14">
      <c r="A37" s="8" t="s">
        <v>244</v>
      </c>
      <c r="B37" s="8" t="s">
        <v>17</v>
      </c>
      <c r="C37" s="8">
        <v>40</v>
      </c>
      <c r="D37" s="8">
        <v>0</v>
      </c>
      <c r="E37" s="8">
        <v>0</v>
      </c>
      <c r="F37" s="8">
        <v>75</v>
      </c>
      <c r="G37" s="8" t="s">
        <v>245</v>
      </c>
      <c r="H37" s="8">
        <v>1</v>
      </c>
      <c r="I37" s="8">
        <v>4</v>
      </c>
      <c r="J37" s="8"/>
      <c r="K37" s="8">
        <v>77</v>
      </c>
      <c r="L37" s="8"/>
      <c r="M37" s="8">
        <v>516</v>
      </c>
      <c r="N37" s="4" t="str">
        <f t="shared" ca="1" si="1"/>
        <v>5AP2</v>
      </c>
    </row>
    <row r="38" spans="1:14">
      <c r="A38" s="8" t="s">
        <v>246</v>
      </c>
      <c r="B38" s="8" t="s">
        <v>17</v>
      </c>
      <c r="C38" s="8">
        <v>10</v>
      </c>
      <c r="D38" s="8">
        <v>0</v>
      </c>
      <c r="E38" s="8">
        <v>1</v>
      </c>
      <c r="F38" s="8">
        <v>75</v>
      </c>
      <c r="G38" s="8" t="s">
        <v>247</v>
      </c>
      <c r="H38" s="8">
        <v>1</v>
      </c>
      <c r="I38" s="10">
        <v>4</v>
      </c>
      <c r="J38" s="8"/>
      <c r="K38" s="8">
        <v>237</v>
      </c>
      <c r="L38" s="8"/>
      <c r="M38" s="8">
        <v>205</v>
      </c>
      <c r="N38" s="4" t="str">
        <f t="shared" ca="1" si="1"/>
        <v>5AP2</v>
      </c>
    </row>
    <row r="39" spans="1:14">
      <c r="A39" s="8" t="s">
        <v>248</v>
      </c>
      <c r="B39" s="8" t="s">
        <v>17</v>
      </c>
      <c r="C39" s="8">
        <v>5</v>
      </c>
      <c r="D39" s="8">
        <v>0</v>
      </c>
      <c r="E39" s="8">
        <v>1</v>
      </c>
      <c r="F39" s="8">
        <v>75</v>
      </c>
      <c r="G39" s="8" t="s">
        <v>247</v>
      </c>
      <c r="H39" s="8">
        <v>1</v>
      </c>
      <c r="I39" s="8">
        <v>4</v>
      </c>
      <c r="J39" s="8"/>
      <c r="K39" s="8">
        <v>429</v>
      </c>
      <c r="L39" s="8"/>
      <c r="M39" s="8">
        <v>397</v>
      </c>
      <c r="N39" s="4" t="str">
        <f t="shared" ca="1" si="1"/>
        <v>5AP2</v>
      </c>
    </row>
    <row r="40" spans="1:14">
      <c r="A40" s="8" t="s">
        <v>249</v>
      </c>
      <c r="B40" s="8" t="s">
        <v>17</v>
      </c>
      <c r="C40" s="8">
        <v>20</v>
      </c>
      <c r="D40" s="8">
        <v>0</v>
      </c>
      <c r="E40" s="8">
        <v>1</v>
      </c>
      <c r="F40" s="8">
        <v>75</v>
      </c>
      <c r="G40" s="8" t="s">
        <v>247</v>
      </c>
      <c r="H40" s="8">
        <v>1</v>
      </c>
      <c r="I40" s="10">
        <v>4</v>
      </c>
      <c r="J40" s="8"/>
      <c r="K40" s="8">
        <v>108</v>
      </c>
      <c r="L40" s="8"/>
      <c r="M40" s="8">
        <v>105</v>
      </c>
      <c r="N40" s="4" t="str">
        <f t="shared" ca="1" si="1"/>
        <v>5AP2</v>
      </c>
    </row>
    <row r="41" spans="1:14">
      <c r="A41" s="8" t="s">
        <v>250</v>
      </c>
      <c r="B41" s="8" t="s">
        <v>17</v>
      </c>
      <c r="C41" s="8">
        <v>30</v>
      </c>
      <c r="D41" s="8">
        <v>0</v>
      </c>
      <c r="E41" s="8">
        <v>0</v>
      </c>
      <c r="F41" s="8">
        <v>75</v>
      </c>
      <c r="G41" s="8" t="s">
        <v>251</v>
      </c>
      <c r="H41" s="8">
        <v>1</v>
      </c>
      <c r="I41" s="8">
        <v>4</v>
      </c>
      <c r="J41" s="8"/>
      <c r="K41" s="8">
        <v>77</v>
      </c>
      <c r="L41" s="8"/>
      <c r="M41" s="8">
        <v>9999</v>
      </c>
      <c r="N41" s="4" t="str">
        <f t="shared" ca="1" si="1"/>
        <v>5AP2</v>
      </c>
    </row>
    <row r="42" spans="1:14" s="15" customFormat="1">
      <c r="A42" s="15" t="s">
        <v>252</v>
      </c>
      <c r="B42" s="15" t="s">
        <v>17</v>
      </c>
      <c r="C42" s="15">
        <v>5</v>
      </c>
      <c r="D42" s="15">
        <v>-1</v>
      </c>
      <c r="F42" s="15">
        <v>75</v>
      </c>
      <c r="G42" s="15" t="s">
        <v>253</v>
      </c>
      <c r="H42" s="15">
        <v>0</v>
      </c>
      <c r="I42" s="15">
        <v>4</v>
      </c>
      <c r="K42" s="15">
        <v>-1</v>
      </c>
      <c r="L42" s="15">
        <v>-1</v>
      </c>
      <c r="M42" s="15">
        <v>-1</v>
      </c>
      <c r="N42" s="4" t="str">
        <f t="shared" ca="1" si="1"/>
        <v>5AP2</v>
      </c>
    </row>
    <row r="43" spans="1:14">
      <c r="A43" s="8" t="s">
        <v>254</v>
      </c>
      <c r="B43" s="8" t="s">
        <v>17</v>
      </c>
      <c r="C43" s="8">
        <v>10</v>
      </c>
      <c r="D43" s="8">
        <v>-1</v>
      </c>
      <c r="E43" s="8"/>
      <c r="F43" s="8">
        <v>75</v>
      </c>
      <c r="G43" s="8"/>
      <c r="H43" s="8">
        <v>0</v>
      </c>
      <c r="I43" s="10">
        <v>4</v>
      </c>
      <c r="J43" s="8"/>
      <c r="K43" s="8">
        <v>-1</v>
      </c>
      <c r="L43" s="8">
        <v>-1</v>
      </c>
      <c r="M43" s="8">
        <v>-1</v>
      </c>
      <c r="N43" s="4" t="str">
        <f t="shared" ca="1" si="1"/>
        <v>5AP2</v>
      </c>
    </row>
    <row r="44" spans="1:14">
      <c r="A44" s="8" t="s">
        <v>255</v>
      </c>
      <c r="B44" s="8" t="s">
        <v>17</v>
      </c>
      <c r="C44" s="8">
        <v>20</v>
      </c>
      <c r="D44" s="8">
        <v>-1</v>
      </c>
      <c r="E44" s="8"/>
      <c r="F44" s="8">
        <v>75</v>
      </c>
      <c r="G44" s="8"/>
      <c r="H44" s="8">
        <v>0</v>
      </c>
      <c r="I44" s="8">
        <v>4</v>
      </c>
      <c r="J44" s="8"/>
      <c r="K44" s="8">
        <v>-1</v>
      </c>
      <c r="L44" s="8">
        <v>-1</v>
      </c>
      <c r="M44" s="8">
        <v>-1</v>
      </c>
      <c r="N44" s="4" t="str">
        <f t="shared" ca="1" si="1"/>
        <v>5AP2</v>
      </c>
    </row>
    <row r="45" spans="1:14">
      <c r="A45" s="8" t="s">
        <v>256</v>
      </c>
      <c r="B45" s="8" t="s">
        <v>17</v>
      </c>
      <c r="C45" s="8">
        <v>30</v>
      </c>
      <c r="D45" s="8">
        <v>-1</v>
      </c>
      <c r="E45" s="8"/>
      <c r="F45" s="8">
        <v>75</v>
      </c>
      <c r="G45" s="8"/>
      <c r="H45" s="8">
        <v>0</v>
      </c>
      <c r="I45" s="10">
        <v>4</v>
      </c>
      <c r="J45" s="8"/>
      <c r="K45" s="8">
        <v>-1</v>
      </c>
      <c r="L45" s="8">
        <v>-1</v>
      </c>
      <c r="M45" s="8">
        <v>-1</v>
      </c>
      <c r="N45" s="4" t="str">
        <f t="shared" ca="1" si="1"/>
        <v>5AP2</v>
      </c>
    </row>
    <row r="46" spans="1:14">
      <c r="A46" s="8" t="s">
        <v>257</v>
      </c>
      <c r="B46" s="8" t="s">
        <v>17</v>
      </c>
      <c r="C46" s="8">
        <v>40</v>
      </c>
      <c r="D46" s="8">
        <v>-1</v>
      </c>
      <c r="E46" s="8"/>
      <c r="F46" s="8">
        <v>75</v>
      </c>
      <c r="G46" s="8"/>
      <c r="H46" s="8">
        <v>0</v>
      </c>
      <c r="I46" s="8">
        <v>4</v>
      </c>
      <c r="J46" s="8"/>
      <c r="K46" s="8">
        <v>-1</v>
      </c>
      <c r="L46" s="8">
        <v>-1</v>
      </c>
      <c r="M46" s="8">
        <v>-1</v>
      </c>
      <c r="N46" s="4" t="str">
        <f t="shared" ca="1" si="1"/>
        <v>5AP2</v>
      </c>
    </row>
    <row r="47" spans="1:14">
      <c r="A47" s="4" t="s">
        <v>258</v>
      </c>
      <c r="B47" s="4" t="s">
        <v>39</v>
      </c>
      <c r="C47" s="4">
        <v>5</v>
      </c>
      <c r="D47" s="4">
        <v>0</v>
      </c>
      <c r="E47" s="4"/>
      <c r="F47" s="4">
        <v>75</v>
      </c>
      <c r="G47" s="4"/>
      <c r="H47" s="4">
        <v>1</v>
      </c>
      <c r="I47" s="4">
        <v>5</v>
      </c>
      <c r="J47" s="4"/>
      <c r="K47" s="4">
        <v>428</v>
      </c>
      <c r="L47" s="4"/>
      <c r="M47" s="4">
        <v>9999</v>
      </c>
      <c r="N47" s="4" t="str">
        <f t="shared" ca="1" si="1"/>
        <v>5AP3</v>
      </c>
    </row>
    <row r="48" spans="1:14">
      <c r="A48" s="4" t="s">
        <v>259</v>
      </c>
      <c r="B48" s="4" t="s">
        <v>39</v>
      </c>
      <c r="C48" s="4">
        <v>10</v>
      </c>
      <c r="D48" s="4">
        <v>1</v>
      </c>
      <c r="E48" s="4"/>
      <c r="F48" s="4">
        <v>75</v>
      </c>
      <c r="G48" s="4" t="s">
        <v>260</v>
      </c>
      <c r="H48" s="4">
        <v>1</v>
      </c>
      <c r="I48" s="4">
        <v>5</v>
      </c>
      <c r="J48" s="4"/>
      <c r="K48" s="4">
        <v>237</v>
      </c>
      <c r="L48" s="4"/>
      <c r="M48" s="4">
        <v>187</v>
      </c>
      <c r="N48" s="4" t="str">
        <f t="shared" ca="1" si="1"/>
        <v>5AP3</v>
      </c>
    </row>
    <row r="49" spans="1:14">
      <c r="A49" s="4" t="s">
        <v>261</v>
      </c>
      <c r="B49" s="4" t="s">
        <v>39</v>
      </c>
      <c r="C49" s="4">
        <v>40</v>
      </c>
      <c r="D49" s="4">
        <v>0</v>
      </c>
      <c r="E49" s="4"/>
      <c r="F49" s="4">
        <v>75</v>
      </c>
      <c r="G49" s="4" t="s">
        <v>262</v>
      </c>
      <c r="H49" s="4">
        <v>1</v>
      </c>
      <c r="I49" s="4">
        <v>5</v>
      </c>
      <c r="J49" s="4"/>
      <c r="K49" s="4">
        <v>76</v>
      </c>
      <c r="L49" s="4"/>
      <c r="M49" s="4">
        <v>71</v>
      </c>
      <c r="N49" s="4" t="str">
        <f t="shared" ca="1" si="1"/>
        <v>5AP3</v>
      </c>
    </row>
    <row r="50" spans="1:14">
      <c r="A50" s="4" t="s">
        <v>263</v>
      </c>
      <c r="B50" s="4" t="s">
        <v>39</v>
      </c>
      <c r="C50" s="4">
        <v>20</v>
      </c>
      <c r="D50" s="4">
        <v>0</v>
      </c>
      <c r="E50" s="4"/>
      <c r="F50" s="4">
        <v>75</v>
      </c>
      <c r="G50" s="4"/>
      <c r="H50" s="4">
        <v>1</v>
      </c>
      <c r="I50" s="4">
        <v>5</v>
      </c>
      <c r="J50" s="4"/>
      <c r="K50" s="4">
        <v>109</v>
      </c>
      <c r="L50" s="4"/>
      <c r="M50" s="4">
        <v>111</v>
      </c>
      <c r="N50" s="4" t="str">
        <f t="shared" ca="1" si="1"/>
        <v>5AP3</v>
      </c>
    </row>
    <row r="51" spans="1:14">
      <c r="A51" s="4" t="s">
        <v>264</v>
      </c>
      <c r="B51" s="4" t="s">
        <v>39</v>
      </c>
      <c r="C51" s="4">
        <v>30</v>
      </c>
      <c r="D51" s="4">
        <v>0</v>
      </c>
      <c r="E51" s="4"/>
      <c r="F51" s="4">
        <v>75</v>
      </c>
      <c r="G51" s="4"/>
      <c r="H51" s="4">
        <v>1</v>
      </c>
      <c r="I51" s="4">
        <v>5</v>
      </c>
      <c r="J51" s="4"/>
      <c r="K51" s="4">
        <v>76</v>
      </c>
      <c r="L51" s="4"/>
      <c r="M51" s="4">
        <v>76</v>
      </c>
      <c r="N51" s="4" t="str">
        <f t="shared" ca="1" si="1"/>
        <v>5AP3</v>
      </c>
    </row>
    <row r="52" spans="1:14">
      <c r="A52" s="4" t="s">
        <v>265</v>
      </c>
      <c r="B52" s="4" t="s">
        <v>39</v>
      </c>
      <c r="C52" s="4">
        <v>5</v>
      </c>
      <c r="D52" s="4">
        <v>0</v>
      </c>
      <c r="E52" s="4"/>
      <c r="F52" s="4">
        <v>75</v>
      </c>
      <c r="G52" s="4" t="s">
        <v>266</v>
      </c>
      <c r="H52" s="4">
        <v>2</v>
      </c>
      <c r="I52" s="4">
        <v>5</v>
      </c>
      <c r="J52" s="4"/>
      <c r="K52" s="4">
        <v>428</v>
      </c>
      <c r="L52" s="4"/>
      <c r="M52" s="4">
        <v>9999</v>
      </c>
      <c r="N52" s="4" t="str">
        <f t="shared" ca="1" si="1"/>
        <v>5AP3</v>
      </c>
    </row>
    <row r="53" spans="1:14">
      <c r="A53" s="4" t="s">
        <v>267</v>
      </c>
      <c r="B53" s="4" t="s">
        <v>39</v>
      </c>
      <c r="C53" s="4">
        <v>5</v>
      </c>
      <c r="D53" s="4">
        <v>-1</v>
      </c>
      <c r="E53" s="4"/>
      <c r="F53" s="4">
        <v>75</v>
      </c>
      <c r="G53" s="4"/>
      <c r="H53" s="4">
        <v>0</v>
      </c>
      <c r="I53" s="4">
        <v>5</v>
      </c>
      <c r="J53" s="4"/>
      <c r="K53" s="4">
        <v>-1</v>
      </c>
      <c r="L53" s="4">
        <v>-1</v>
      </c>
      <c r="M53" s="4">
        <v>-1</v>
      </c>
      <c r="N53" s="4" t="str">
        <f t="shared" ca="1" si="1"/>
        <v>5AP3</v>
      </c>
    </row>
    <row r="54" spans="1:14">
      <c r="A54" s="4" t="s">
        <v>268</v>
      </c>
      <c r="B54" s="4" t="s">
        <v>39</v>
      </c>
      <c r="C54" s="4">
        <v>10</v>
      </c>
      <c r="D54" s="4">
        <v>-1</v>
      </c>
      <c r="E54" s="4"/>
      <c r="F54" s="4">
        <v>75</v>
      </c>
      <c r="G54" s="4"/>
      <c r="H54" s="4">
        <v>0</v>
      </c>
      <c r="I54" s="4">
        <v>5</v>
      </c>
      <c r="J54" s="4"/>
      <c r="K54" s="4">
        <v>-1</v>
      </c>
      <c r="L54" s="4">
        <v>-1</v>
      </c>
      <c r="M54" s="4">
        <v>-1</v>
      </c>
      <c r="N54" s="4" t="str">
        <f t="shared" ca="1" si="1"/>
        <v>5AP3</v>
      </c>
    </row>
    <row r="55" spans="1:14">
      <c r="A55" s="4" t="s">
        <v>269</v>
      </c>
      <c r="B55" s="4" t="s">
        <v>39</v>
      </c>
      <c r="C55" s="4">
        <v>20</v>
      </c>
      <c r="D55" s="4">
        <v>-1</v>
      </c>
      <c r="E55" s="4"/>
      <c r="F55" s="4">
        <v>75</v>
      </c>
      <c r="G55" s="4"/>
      <c r="H55" s="4">
        <v>0</v>
      </c>
      <c r="I55" s="4">
        <v>5</v>
      </c>
      <c r="J55" s="4"/>
      <c r="K55" s="4">
        <v>-1</v>
      </c>
      <c r="L55" s="4">
        <v>-1</v>
      </c>
      <c r="M55" s="4">
        <v>-1</v>
      </c>
      <c r="N55" s="4" t="str">
        <f t="shared" ca="1" si="1"/>
        <v>5AP3</v>
      </c>
    </row>
    <row r="56" spans="1:14">
      <c r="A56" s="4" t="s">
        <v>270</v>
      </c>
      <c r="B56" s="4" t="s">
        <v>39</v>
      </c>
      <c r="C56" s="4">
        <v>30</v>
      </c>
      <c r="D56" s="4">
        <v>-1</v>
      </c>
      <c r="E56" s="4"/>
      <c r="F56" s="4">
        <v>75</v>
      </c>
      <c r="G56" s="4"/>
      <c r="H56" s="4">
        <v>0</v>
      </c>
      <c r="I56" s="4">
        <v>5</v>
      </c>
      <c r="J56" s="4"/>
      <c r="K56" s="4">
        <v>-1</v>
      </c>
      <c r="L56" s="4">
        <v>-1</v>
      </c>
      <c r="M56" s="4">
        <v>-1</v>
      </c>
      <c r="N56" s="4" t="str">
        <f t="shared" ca="1" si="1"/>
        <v>5AP3</v>
      </c>
    </row>
    <row r="57" spans="1:14">
      <c r="A57" s="4" t="s">
        <v>271</v>
      </c>
      <c r="B57" s="4" t="s">
        <v>39</v>
      </c>
      <c r="C57" s="4">
        <v>40</v>
      </c>
      <c r="D57" s="4">
        <v>-1</v>
      </c>
      <c r="E57" s="4"/>
      <c r="F57" s="4">
        <v>75</v>
      </c>
      <c r="G57" s="4"/>
      <c r="H57" s="4">
        <v>0</v>
      </c>
      <c r="I57" s="4">
        <v>5</v>
      </c>
      <c r="J57" s="4"/>
      <c r="K57" s="4">
        <v>-1</v>
      </c>
      <c r="L57" s="4">
        <v>-1</v>
      </c>
      <c r="M57" s="4">
        <v>-1</v>
      </c>
      <c r="N57" s="4" t="str">
        <f t="shared" ca="1" si="1"/>
        <v>5AP3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topLeftCell="K1"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4" width="5.09765625" style="1" customWidth="1"/>
    <col min="5" max="5" width="4.5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272</v>
      </c>
      <c r="B2" s="6" t="s">
        <v>27</v>
      </c>
      <c r="C2" s="6">
        <v>40</v>
      </c>
      <c r="D2" s="4">
        <v>0</v>
      </c>
      <c r="E2" s="4"/>
      <c r="F2" s="4">
        <v>150</v>
      </c>
      <c r="G2" s="5" t="s">
        <v>273</v>
      </c>
      <c r="H2" s="4">
        <v>1</v>
      </c>
      <c r="I2" s="4">
        <v>1</v>
      </c>
      <c r="J2" s="4">
        <f>MAX(I:I)</f>
        <v>4</v>
      </c>
      <c r="K2" s="4">
        <v>76</v>
      </c>
      <c r="L2" s="4"/>
      <c r="M2" s="4">
        <v>60</v>
      </c>
      <c r="N2" s="4" t="str">
        <f t="shared" ref="N2:N33" ca="1" si="0">_xlfn.CONCAT(_xlfn.SHEET(A1),B2)</f>
        <v>6AP1</v>
      </c>
    </row>
    <row r="3" spans="1:14">
      <c r="A3" s="5" t="s">
        <v>274</v>
      </c>
      <c r="B3" s="6" t="s">
        <v>27</v>
      </c>
      <c r="C3" s="6">
        <v>20</v>
      </c>
      <c r="D3" s="6">
        <v>0</v>
      </c>
      <c r="E3" s="6"/>
      <c r="F3" s="4">
        <v>150</v>
      </c>
      <c r="G3" s="4"/>
      <c r="H3" s="4">
        <v>1</v>
      </c>
      <c r="I3" s="4">
        <v>1</v>
      </c>
      <c r="J3" s="4"/>
      <c r="K3" s="4">
        <v>108</v>
      </c>
      <c r="L3" s="4"/>
      <c r="M3" s="4">
        <v>108</v>
      </c>
      <c r="N3" s="4" t="str">
        <f t="shared" ca="1" si="0"/>
        <v>6AP1</v>
      </c>
    </row>
    <row r="4" spans="1:14">
      <c r="A4" s="5" t="s">
        <v>275</v>
      </c>
      <c r="B4" s="6" t="s">
        <v>27</v>
      </c>
      <c r="C4" s="6">
        <v>10</v>
      </c>
      <c r="D4" s="6">
        <v>0</v>
      </c>
      <c r="E4" s="6"/>
      <c r="F4" s="4">
        <v>150</v>
      </c>
      <c r="G4" s="4"/>
      <c r="H4" s="4">
        <v>1</v>
      </c>
      <c r="I4" s="4">
        <v>1</v>
      </c>
      <c r="J4" s="4"/>
      <c r="K4" s="4">
        <v>237</v>
      </c>
      <c r="L4" s="4"/>
      <c r="M4" s="4">
        <v>206</v>
      </c>
      <c r="N4" s="4" t="str">
        <f t="shared" ca="1" si="0"/>
        <v>6AP1</v>
      </c>
    </row>
    <row r="5" spans="1:14">
      <c r="A5" s="4" t="s">
        <v>276</v>
      </c>
      <c r="B5" s="6" t="s">
        <v>27</v>
      </c>
      <c r="C5" s="4">
        <v>5</v>
      </c>
      <c r="D5" s="4">
        <v>0</v>
      </c>
      <c r="E5" s="4"/>
      <c r="F5" s="4">
        <v>150</v>
      </c>
      <c r="G5" s="4" t="s">
        <v>277</v>
      </c>
      <c r="H5" s="4">
        <v>1</v>
      </c>
      <c r="I5" s="4">
        <v>1</v>
      </c>
      <c r="J5" s="4"/>
      <c r="K5" s="4">
        <v>428</v>
      </c>
      <c r="L5" s="4"/>
      <c r="M5" s="4">
        <v>400</v>
      </c>
      <c r="N5" s="4" t="str">
        <f t="shared" ca="1" si="0"/>
        <v>6AP1</v>
      </c>
    </row>
    <row r="6" spans="1:14">
      <c r="A6" s="4" t="s">
        <v>278</v>
      </c>
      <c r="B6" s="6" t="s">
        <v>27</v>
      </c>
      <c r="C6" s="4">
        <v>30</v>
      </c>
      <c r="D6" s="4">
        <v>0</v>
      </c>
      <c r="E6" s="4"/>
      <c r="F6" s="4">
        <v>150</v>
      </c>
      <c r="G6" s="4"/>
      <c r="H6" s="4">
        <v>1</v>
      </c>
      <c r="I6" s="4">
        <v>1</v>
      </c>
      <c r="J6" s="4"/>
      <c r="K6" s="4">
        <v>77</v>
      </c>
      <c r="L6" s="4"/>
      <c r="M6" s="4">
        <v>73</v>
      </c>
      <c r="N6" s="4" t="str">
        <f t="shared" ca="1" si="0"/>
        <v>6AP1</v>
      </c>
    </row>
    <row r="7" spans="1:14">
      <c r="A7" s="4" t="s">
        <v>279</v>
      </c>
      <c r="B7" s="6" t="s">
        <v>27</v>
      </c>
      <c r="C7" s="4">
        <v>40</v>
      </c>
      <c r="D7" s="4">
        <v>0</v>
      </c>
      <c r="E7" s="4"/>
      <c r="F7" s="4">
        <v>150</v>
      </c>
      <c r="G7" s="4"/>
      <c r="H7" s="4">
        <v>2</v>
      </c>
      <c r="I7" s="4">
        <v>1</v>
      </c>
      <c r="J7" s="4"/>
      <c r="K7" s="4">
        <v>77</v>
      </c>
      <c r="L7" s="4"/>
      <c r="M7" s="4">
        <v>60</v>
      </c>
      <c r="N7" s="4" t="str">
        <f t="shared" ca="1" si="0"/>
        <v>6AP1</v>
      </c>
    </row>
    <row r="8" spans="1:14">
      <c r="A8" s="4" t="s">
        <v>280</v>
      </c>
      <c r="B8" s="6" t="s">
        <v>27</v>
      </c>
      <c r="C8" s="4">
        <v>5</v>
      </c>
      <c r="D8" s="4"/>
      <c r="E8" s="4"/>
      <c r="F8" s="4">
        <v>150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4" t="str">
        <f t="shared" ca="1" si="0"/>
        <v>6AP1</v>
      </c>
    </row>
    <row r="9" spans="1:14">
      <c r="A9" s="4" t="s">
        <v>281</v>
      </c>
      <c r="B9" s="6" t="s">
        <v>27</v>
      </c>
      <c r="C9" s="4">
        <v>10</v>
      </c>
      <c r="D9" s="4"/>
      <c r="E9" s="4"/>
      <c r="F9" s="4">
        <v>150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6AP1</v>
      </c>
    </row>
    <row r="10" spans="1:14">
      <c r="A10" s="4" t="s">
        <v>282</v>
      </c>
      <c r="B10" s="6" t="s">
        <v>27</v>
      </c>
      <c r="C10" s="4">
        <v>20</v>
      </c>
      <c r="D10" s="4"/>
      <c r="E10" s="4"/>
      <c r="F10" s="4">
        <v>150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6AP1</v>
      </c>
    </row>
    <row r="11" spans="1:14">
      <c r="A11" s="4" t="s">
        <v>283</v>
      </c>
      <c r="B11" s="6" t="s">
        <v>27</v>
      </c>
      <c r="C11" s="4">
        <v>30</v>
      </c>
      <c r="D11" s="4"/>
      <c r="E11" s="4"/>
      <c r="F11" s="4">
        <v>150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6AP1</v>
      </c>
    </row>
    <row r="12" spans="1:14">
      <c r="A12" s="3" t="s">
        <v>284</v>
      </c>
      <c r="B12" s="6" t="s">
        <v>27</v>
      </c>
      <c r="C12" s="3">
        <v>40</v>
      </c>
      <c r="D12" s="4"/>
      <c r="E12" s="4"/>
      <c r="F12" s="4">
        <v>150</v>
      </c>
      <c r="G12" s="3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6AP1</v>
      </c>
    </row>
    <row r="13" spans="1:14">
      <c r="A13" s="7" t="s">
        <v>285</v>
      </c>
      <c r="B13" s="8" t="s">
        <v>17</v>
      </c>
      <c r="C13" s="7">
        <v>5</v>
      </c>
      <c r="D13" s="8">
        <v>0</v>
      </c>
      <c r="E13" s="8"/>
      <c r="F13" s="8">
        <v>75</v>
      </c>
      <c r="G13" s="7"/>
      <c r="H13" s="8">
        <v>1</v>
      </c>
      <c r="I13" s="8">
        <v>2</v>
      </c>
      <c r="J13" s="8"/>
      <c r="K13" s="8">
        <v>428</v>
      </c>
      <c r="L13" s="8"/>
      <c r="M13" s="8">
        <v>9999</v>
      </c>
      <c r="N13" s="4" t="str">
        <f t="shared" ca="1" si="0"/>
        <v>6AP2</v>
      </c>
    </row>
    <row r="14" spans="1:14">
      <c r="A14" s="7" t="s">
        <v>286</v>
      </c>
      <c r="B14" s="8" t="s">
        <v>17</v>
      </c>
      <c r="C14" s="7">
        <v>20</v>
      </c>
      <c r="D14" s="8">
        <v>0</v>
      </c>
      <c r="E14" s="8"/>
      <c r="F14" s="8">
        <v>75</v>
      </c>
      <c r="G14" s="7"/>
      <c r="H14" s="8">
        <v>1</v>
      </c>
      <c r="I14" s="8">
        <v>2</v>
      </c>
      <c r="J14" s="8"/>
      <c r="K14" s="8">
        <v>108</v>
      </c>
      <c r="L14" s="8"/>
      <c r="M14" s="8">
        <v>109</v>
      </c>
      <c r="N14" s="4" t="str">
        <f t="shared" ca="1" si="0"/>
        <v>6AP2</v>
      </c>
    </row>
    <row r="15" spans="1:14">
      <c r="A15" s="7" t="s">
        <v>287</v>
      </c>
      <c r="B15" s="8" t="s">
        <v>17</v>
      </c>
      <c r="C15" s="7">
        <v>10</v>
      </c>
      <c r="D15" s="8">
        <v>0</v>
      </c>
      <c r="E15" s="8"/>
      <c r="F15" s="8">
        <v>75</v>
      </c>
      <c r="G15" s="8"/>
      <c r="H15" s="8">
        <v>1</v>
      </c>
      <c r="I15" s="8">
        <v>2</v>
      </c>
      <c r="J15" s="8"/>
      <c r="K15" s="8">
        <v>238</v>
      </c>
      <c r="L15" s="8"/>
      <c r="M15" s="8">
        <v>210</v>
      </c>
      <c r="N15" s="4" t="str">
        <f t="shared" ca="1" si="0"/>
        <v>6AP2</v>
      </c>
    </row>
    <row r="16" spans="1:14">
      <c r="A16" s="7" t="s">
        <v>288</v>
      </c>
      <c r="B16" s="8" t="s">
        <v>17</v>
      </c>
      <c r="C16" s="7">
        <v>40</v>
      </c>
      <c r="D16" s="8">
        <v>0</v>
      </c>
      <c r="E16" s="8"/>
      <c r="F16" s="8">
        <v>75</v>
      </c>
      <c r="G16" s="7"/>
      <c r="H16" s="8">
        <v>1</v>
      </c>
      <c r="I16" s="8">
        <v>2</v>
      </c>
      <c r="J16" s="8"/>
      <c r="K16" s="8">
        <v>77</v>
      </c>
      <c r="L16" s="8"/>
      <c r="M16" s="8">
        <v>62</v>
      </c>
      <c r="N16" s="4" t="str">
        <f t="shared" ca="1" si="0"/>
        <v>6AP2</v>
      </c>
    </row>
    <row r="17" spans="1:14">
      <c r="A17" s="7" t="s">
        <v>289</v>
      </c>
      <c r="B17" s="8" t="s">
        <v>17</v>
      </c>
      <c r="C17" s="7">
        <v>30</v>
      </c>
      <c r="D17" s="8">
        <v>0</v>
      </c>
      <c r="E17" s="8"/>
      <c r="F17" s="8">
        <v>75</v>
      </c>
      <c r="G17" s="7"/>
      <c r="H17" s="8">
        <v>1</v>
      </c>
      <c r="I17" s="8">
        <v>2</v>
      </c>
      <c r="J17" s="8"/>
      <c r="K17" s="8">
        <v>77</v>
      </c>
      <c r="L17" s="8"/>
      <c r="M17" s="8">
        <v>78</v>
      </c>
      <c r="N17" s="4" t="str">
        <f t="shared" ca="1" si="0"/>
        <v>6AP2</v>
      </c>
    </row>
    <row r="18" spans="1:14">
      <c r="A18" s="7" t="s">
        <v>290</v>
      </c>
      <c r="B18" s="8" t="s">
        <v>17</v>
      </c>
      <c r="C18" s="7">
        <v>5</v>
      </c>
      <c r="D18" s="8">
        <v>0</v>
      </c>
      <c r="E18" s="8"/>
      <c r="F18" s="8">
        <v>75</v>
      </c>
      <c r="G18" s="7"/>
      <c r="H18" s="8">
        <v>2</v>
      </c>
      <c r="I18" s="8">
        <v>2</v>
      </c>
      <c r="J18" s="8"/>
      <c r="K18" s="8">
        <v>428</v>
      </c>
      <c r="L18" s="8"/>
      <c r="M18" s="8">
        <v>411</v>
      </c>
      <c r="N18" s="4" t="str">
        <f t="shared" ca="1" si="0"/>
        <v>6AP2</v>
      </c>
    </row>
    <row r="19" spans="1:14">
      <c r="A19" s="7" t="s">
        <v>291</v>
      </c>
      <c r="B19" s="8" t="s">
        <v>17</v>
      </c>
      <c r="C19" s="7">
        <v>5</v>
      </c>
      <c r="D19" s="8"/>
      <c r="E19" s="8"/>
      <c r="F19" s="8">
        <v>75</v>
      </c>
      <c r="G19" s="7"/>
      <c r="H19" s="8">
        <v>0</v>
      </c>
      <c r="I19" s="8">
        <v>2</v>
      </c>
      <c r="J19" s="8"/>
      <c r="K19" s="8">
        <v>-1</v>
      </c>
      <c r="L19" s="8">
        <v>-1</v>
      </c>
      <c r="M19" s="8">
        <v>-1</v>
      </c>
      <c r="N19" s="4" t="str">
        <f t="shared" ca="1" si="0"/>
        <v>6AP2</v>
      </c>
    </row>
    <row r="20" spans="1:14">
      <c r="A20" s="8" t="s">
        <v>292</v>
      </c>
      <c r="B20" s="8" t="s">
        <v>17</v>
      </c>
      <c r="C20" s="8">
        <v>10</v>
      </c>
      <c r="D20" s="8"/>
      <c r="E20" s="8"/>
      <c r="F20" s="8">
        <v>75</v>
      </c>
      <c r="G20" s="8"/>
      <c r="H20" s="8">
        <v>0</v>
      </c>
      <c r="I20" s="8">
        <v>2</v>
      </c>
      <c r="J20" s="8"/>
      <c r="K20" s="8">
        <v>-1</v>
      </c>
      <c r="L20" s="8">
        <v>-1</v>
      </c>
      <c r="M20" s="8">
        <v>-1</v>
      </c>
      <c r="N20" s="4" t="str">
        <f t="shared" ca="1" si="0"/>
        <v>6AP2</v>
      </c>
    </row>
    <row r="21" spans="1:14">
      <c r="A21" s="8" t="s">
        <v>293</v>
      </c>
      <c r="B21" s="8" t="s">
        <v>17</v>
      </c>
      <c r="C21" s="8">
        <v>20</v>
      </c>
      <c r="D21" s="8"/>
      <c r="E21" s="8"/>
      <c r="F21" s="8">
        <v>75</v>
      </c>
      <c r="G21" s="8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6AP2</v>
      </c>
    </row>
    <row r="22" spans="1:14">
      <c r="A22" s="8" t="s">
        <v>294</v>
      </c>
      <c r="B22" s="8" t="s">
        <v>17</v>
      </c>
      <c r="C22" s="8">
        <v>30</v>
      </c>
      <c r="D22" s="8"/>
      <c r="E22" s="8"/>
      <c r="F22" s="8">
        <v>75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6AP2</v>
      </c>
    </row>
    <row r="23" spans="1:14">
      <c r="A23" s="8" t="s">
        <v>295</v>
      </c>
      <c r="B23" s="8" t="s">
        <v>17</v>
      </c>
      <c r="C23" s="8">
        <v>40</v>
      </c>
      <c r="D23" s="8"/>
      <c r="E23" s="8"/>
      <c r="F23" s="8">
        <v>75</v>
      </c>
      <c r="G23" s="8"/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6AP2</v>
      </c>
    </row>
    <row r="24" spans="1:14">
      <c r="A24" s="4" t="s">
        <v>296</v>
      </c>
      <c r="B24" s="3" t="s">
        <v>39</v>
      </c>
      <c r="C24" s="4">
        <v>10</v>
      </c>
      <c r="D24" s="4">
        <v>1</v>
      </c>
      <c r="E24" s="4"/>
      <c r="F24" s="3">
        <v>250</v>
      </c>
      <c r="G24" s="4" t="s">
        <v>297</v>
      </c>
      <c r="H24" s="4">
        <v>1</v>
      </c>
      <c r="I24" s="4">
        <v>3</v>
      </c>
      <c r="J24" s="4"/>
      <c r="K24" s="4">
        <v>237</v>
      </c>
      <c r="L24" s="4">
        <v>203</v>
      </c>
      <c r="M24" s="4">
        <v>193</v>
      </c>
      <c r="N24" s="4" t="str">
        <f t="shared" ca="1" si="0"/>
        <v>6AP3</v>
      </c>
    </row>
    <row r="25" spans="1:14">
      <c r="A25" s="4" t="s">
        <v>298</v>
      </c>
      <c r="B25" s="3" t="s">
        <v>39</v>
      </c>
      <c r="C25" s="4">
        <v>5</v>
      </c>
      <c r="D25" s="4">
        <v>1</v>
      </c>
      <c r="E25" s="4"/>
      <c r="F25" s="3">
        <v>250</v>
      </c>
      <c r="G25" s="4" t="s">
        <v>299</v>
      </c>
      <c r="H25" s="4">
        <v>1</v>
      </c>
      <c r="I25" s="4">
        <v>3</v>
      </c>
      <c r="J25" s="4"/>
      <c r="K25" s="4">
        <v>364</v>
      </c>
      <c r="L25" s="4">
        <v>334</v>
      </c>
      <c r="M25" s="4">
        <v>313</v>
      </c>
      <c r="N25" s="4" t="str">
        <f t="shared" ca="1" si="0"/>
        <v>6AP3</v>
      </c>
    </row>
    <row r="26" spans="1:14">
      <c r="A26" s="4" t="s">
        <v>300</v>
      </c>
      <c r="B26" s="3" t="s">
        <v>39</v>
      </c>
      <c r="C26" s="4">
        <v>20</v>
      </c>
      <c r="D26" s="4">
        <v>1</v>
      </c>
      <c r="E26" s="4"/>
      <c r="F26" s="3">
        <v>250</v>
      </c>
      <c r="G26" s="4" t="s">
        <v>301</v>
      </c>
      <c r="H26" s="4">
        <v>1</v>
      </c>
      <c r="I26" s="4">
        <v>3</v>
      </c>
      <c r="J26" s="4"/>
      <c r="K26" s="4">
        <v>108</v>
      </c>
      <c r="L26" s="4"/>
      <c r="M26" s="4">
        <v>64</v>
      </c>
      <c r="N26" s="4" t="str">
        <f t="shared" ca="1" si="0"/>
        <v>6AP3</v>
      </c>
    </row>
    <row r="27" spans="1:14">
      <c r="A27" s="4" t="s">
        <v>302</v>
      </c>
      <c r="B27" s="3" t="s">
        <v>39</v>
      </c>
      <c r="C27" s="4">
        <v>40</v>
      </c>
      <c r="D27" s="4">
        <v>1</v>
      </c>
      <c r="E27" s="4"/>
      <c r="F27" s="3">
        <v>250</v>
      </c>
      <c r="G27" s="4" t="s">
        <v>303</v>
      </c>
      <c r="H27" s="4">
        <v>1</v>
      </c>
      <c r="I27" s="4">
        <v>3</v>
      </c>
      <c r="J27" s="4"/>
      <c r="K27" s="4">
        <v>77</v>
      </c>
      <c r="L27" s="4"/>
      <c r="M27" s="4">
        <v>51</v>
      </c>
      <c r="N27" s="4" t="str">
        <f t="shared" ca="1" si="0"/>
        <v>6AP3</v>
      </c>
    </row>
    <row r="28" spans="1:14">
      <c r="A28" s="4" t="s">
        <v>304</v>
      </c>
      <c r="B28" s="3" t="s">
        <v>39</v>
      </c>
      <c r="C28" s="4">
        <v>30</v>
      </c>
      <c r="D28" s="4">
        <v>1</v>
      </c>
      <c r="E28" s="4"/>
      <c r="F28" s="3">
        <v>250</v>
      </c>
      <c r="G28" s="9" t="s">
        <v>305</v>
      </c>
      <c r="H28" s="4">
        <v>1</v>
      </c>
      <c r="I28" s="4">
        <v>3</v>
      </c>
      <c r="J28" s="4"/>
      <c r="K28" s="4">
        <v>77</v>
      </c>
      <c r="L28" s="4"/>
      <c r="M28" s="4">
        <v>60</v>
      </c>
      <c r="N28" s="4" t="str">
        <f t="shared" ca="1" si="0"/>
        <v>6AP3</v>
      </c>
    </row>
    <row r="29" spans="1:14">
      <c r="A29" s="4" t="s">
        <v>306</v>
      </c>
      <c r="B29" s="3" t="s">
        <v>39</v>
      </c>
      <c r="C29" s="4">
        <v>10</v>
      </c>
      <c r="D29" s="4">
        <v>1</v>
      </c>
      <c r="E29" s="4"/>
      <c r="F29" s="3">
        <v>250</v>
      </c>
      <c r="G29" s="4"/>
      <c r="H29" s="4">
        <v>2</v>
      </c>
      <c r="I29" s="4">
        <v>3</v>
      </c>
      <c r="J29" s="4"/>
      <c r="K29" s="4">
        <v>236</v>
      </c>
      <c r="L29" s="4">
        <v>202</v>
      </c>
      <c r="M29" s="4">
        <v>189</v>
      </c>
      <c r="N29" s="4" t="str">
        <f t="shared" ca="1" si="0"/>
        <v>6AP3</v>
      </c>
    </row>
    <row r="30" spans="1:14">
      <c r="A30" s="4" t="s">
        <v>307</v>
      </c>
      <c r="B30" s="3" t="s">
        <v>39</v>
      </c>
      <c r="C30" s="4">
        <v>5</v>
      </c>
      <c r="D30" s="4"/>
      <c r="E30" s="4"/>
      <c r="F30" s="3">
        <v>250</v>
      </c>
      <c r="G30" s="4"/>
      <c r="H30" s="4">
        <v>0</v>
      </c>
      <c r="I30" s="4">
        <v>3</v>
      </c>
      <c r="J30" s="4"/>
      <c r="K30" s="4">
        <v>431</v>
      </c>
      <c r="L30" s="4"/>
      <c r="M30" s="4"/>
      <c r="N30" s="4" t="str">
        <f t="shared" ca="1" si="0"/>
        <v>6AP3</v>
      </c>
    </row>
    <row r="31" spans="1:14">
      <c r="A31" s="4" t="s">
        <v>308</v>
      </c>
      <c r="B31" s="3" t="s">
        <v>39</v>
      </c>
      <c r="C31" s="4">
        <v>10</v>
      </c>
      <c r="D31" s="4"/>
      <c r="E31" s="4"/>
      <c r="F31" s="3">
        <v>250</v>
      </c>
      <c r="G31" s="4"/>
      <c r="H31" s="4">
        <v>0</v>
      </c>
      <c r="I31" s="4">
        <v>3</v>
      </c>
      <c r="J31" s="4"/>
      <c r="K31" s="4">
        <v>240</v>
      </c>
      <c r="L31" s="4"/>
      <c r="M31" s="4"/>
      <c r="N31" s="4" t="str">
        <f t="shared" ca="1" si="0"/>
        <v>6AP3</v>
      </c>
    </row>
    <row r="32" spans="1:14">
      <c r="A32" s="4" t="s">
        <v>309</v>
      </c>
      <c r="B32" s="3" t="s">
        <v>39</v>
      </c>
      <c r="C32" s="4">
        <v>20</v>
      </c>
      <c r="D32" s="4"/>
      <c r="E32" s="4"/>
      <c r="F32" s="3">
        <v>250</v>
      </c>
      <c r="G32" s="4"/>
      <c r="H32" s="4">
        <v>0</v>
      </c>
      <c r="I32" s="4">
        <v>3</v>
      </c>
      <c r="J32" s="4"/>
      <c r="K32" s="4">
        <v>113</v>
      </c>
      <c r="L32" s="4"/>
      <c r="M32" s="4"/>
      <c r="N32" s="4" t="str">
        <f t="shared" ca="1" si="0"/>
        <v>6AP3</v>
      </c>
    </row>
    <row r="33" spans="1:14">
      <c r="A33" s="4" t="s">
        <v>310</v>
      </c>
      <c r="B33" s="3" t="s">
        <v>39</v>
      </c>
      <c r="C33" s="4">
        <v>30</v>
      </c>
      <c r="D33" s="4"/>
      <c r="E33" s="4"/>
      <c r="F33" s="3">
        <v>250</v>
      </c>
      <c r="G33" s="4"/>
      <c r="H33" s="4">
        <v>0</v>
      </c>
      <c r="I33" s="4">
        <v>3</v>
      </c>
      <c r="J33" s="4"/>
      <c r="K33" s="4">
        <v>80</v>
      </c>
      <c r="L33" s="4"/>
      <c r="M33" s="4"/>
      <c r="N33" s="4" t="str">
        <f t="shared" ca="1" si="0"/>
        <v>6AP3</v>
      </c>
    </row>
    <row r="34" spans="1:14">
      <c r="A34" s="4" t="s">
        <v>311</v>
      </c>
      <c r="B34" s="3" t="s">
        <v>39</v>
      </c>
      <c r="C34" s="4">
        <v>40</v>
      </c>
      <c r="D34" s="4"/>
      <c r="E34" s="4"/>
      <c r="F34" s="3">
        <v>250</v>
      </c>
      <c r="G34" s="4"/>
      <c r="H34" s="4">
        <v>0</v>
      </c>
      <c r="I34" s="4">
        <v>3</v>
      </c>
      <c r="J34" s="4"/>
      <c r="K34" s="4">
        <v>80</v>
      </c>
      <c r="L34" s="4"/>
      <c r="M34" s="4"/>
      <c r="N34" s="4" t="str">
        <f t="shared" ref="N34:N55" ca="1" si="1">_xlfn.CONCAT(_xlfn.SHEET(A33),B34)</f>
        <v>6AP3</v>
      </c>
    </row>
    <row r="35" spans="1:14">
      <c r="A35" s="8" t="s">
        <v>312</v>
      </c>
      <c r="B35" s="8" t="s">
        <v>41</v>
      </c>
      <c r="C35" s="8">
        <v>40</v>
      </c>
      <c r="D35" s="8">
        <v>0</v>
      </c>
      <c r="E35" s="8"/>
      <c r="F35" s="8">
        <v>250</v>
      </c>
      <c r="G35" s="8" t="s">
        <v>313</v>
      </c>
      <c r="H35" s="8">
        <v>1</v>
      </c>
      <c r="I35" s="8">
        <v>4</v>
      </c>
      <c r="J35" s="8"/>
      <c r="K35" s="8">
        <v>77</v>
      </c>
      <c r="L35" s="8"/>
      <c r="M35" s="8">
        <v>53</v>
      </c>
      <c r="N35" s="4" t="str">
        <f t="shared" ca="1" si="1"/>
        <v>6AP4</v>
      </c>
    </row>
    <row r="36" spans="1:14">
      <c r="A36" s="8" t="s">
        <v>314</v>
      </c>
      <c r="B36" s="8" t="s">
        <v>41</v>
      </c>
      <c r="C36" s="8">
        <v>10</v>
      </c>
      <c r="D36" s="8">
        <v>1</v>
      </c>
      <c r="E36" s="8"/>
      <c r="F36" s="8">
        <v>250</v>
      </c>
      <c r="G36" s="8"/>
      <c r="H36" s="8">
        <v>1</v>
      </c>
      <c r="I36" s="8">
        <v>4</v>
      </c>
      <c r="J36" s="8"/>
      <c r="K36" s="8">
        <v>237</v>
      </c>
      <c r="L36" s="8"/>
      <c r="M36" s="8">
        <v>189</v>
      </c>
      <c r="N36" s="4" t="str">
        <f t="shared" ca="1" si="1"/>
        <v>6AP4</v>
      </c>
    </row>
    <row r="37" spans="1:14">
      <c r="A37" s="8" t="s">
        <v>315</v>
      </c>
      <c r="B37" s="8" t="s">
        <v>41</v>
      </c>
      <c r="C37" s="8">
        <v>20</v>
      </c>
      <c r="D37" s="8">
        <v>1</v>
      </c>
      <c r="E37" s="8"/>
      <c r="F37" s="8">
        <v>250</v>
      </c>
      <c r="G37" s="8" t="s">
        <v>316</v>
      </c>
      <c r="H37" s="8">
        <v>1</v>
      </c>
      <c r="I37" s="8">
        <v>4</v>
      </c>
      <c r="J37" s="8"/>
      <c r="K37" s="8">
        <v>109</v>
      </c>
      <c r="L37" s="8"/>
      <c r="M37" s="8">
        <v>38</v>
      </c>
      <c r="N37" s="4" t="str">
        <f t="shared" ca="1" si="1"/>
        <v>6AP4</v>
      </c>
    </row>
    <row r="38" spans="1:14">
      <c r="A38" s="8" t="s">
        <v>317</v>
      </c>
      <c r="B38" s="8" t="s">
        <v>41</v>
      </c>
      <c r="C38" s="8">
        <v>5</v>
      </c>
      <c r="D38" s="8">
        <v>1</v>
      </c>
      <c r="E38" s="8"/>
      <c r="F38" s="8">
        <v>250</v>
      </c>
      <c r="G38" s="8"/>
      <c r="H38" s="8">
        <v>1</v>
      </c>
      <c r="I38" s="8">
        <v>4</v>
      </c>
      <c r="J38" s="8"/>
      <c r="K38" s="8">
        <v>429</v>
      </c>
      <c r="L38" s="8"/>
      <c r="M38" s="8">
        <v>369</v>
      </c>
      <c r="N38" s="4" t="str">
        <f t="shared" ca="1" si="1"/>
        <v>6AP4</v>
      </c>
    </row>
    <row r="39" spans="1:14">
      <c r="A39" s="8" t="s">
        <v>318</v>
      </c>
      <c r="B39" s="8" t="s">
        <v>41</v>
      </c>
      <c r="C39" s="8">
        <v>30</v>
      </c>
      <c r="D39" s="8">
        <v>1</v>
      </c>
      <c r="E39" s="8"/>
      <c r="F39" s="8">
        <v>250</v>
      </c>
      <c r="G39" s="8" t="s">
        <v>319</v>
      </c>
      <c r="H39" s="8">
        <v>1</v>
      </c>
      <c r="I39" s="8">
        <v>4</v>
      </c>
      <c r="J39" s="8"/>
      <c r="K39" s="8">
        <v>77</v>
      </c>
      <c r="L39" s="8"/>
      <c r="M39" s="8">
        <v>11</v>
      </c>
      <c r="N39" s="4" t="str">
        <f t="shared" ca="1" si="1"/>
        <v>6AP4</v>
      </c>
    </row>
    <row r="40" spans="1:14">
      <c r="A40" s="8" t="s">
        <v>320</v>
      </c>
      <c r="B40" s="8" t="s">
        <v>41</v>
      </c>
      <c r="C40" s="8">
        <v>40</v>
      </c>
      <c r="D40" s="8">
        <v>1</v>
      </c>
      <c r="E40" s="8"/>
      <c r="F40" s="8">
        <v>250</v>
      </c>
      <c r="G40" s="8"/>
      <c r="H40" s="8">
        <v>2</v>
      </c>
      <c r="I40" s="8">
        <v>4</v>
      </c>
      <c r="J40" s="8"/>
      <c r="K40" s="8">
        <v>76</v>
      </c>
      <c r="L40" s="8"/>
      <c r="M40" s="8">
        <v>31</v>
      </c>
      <c r="N40" s="4" t="str">
        <f t="shared" ca="1" si="1"/>
        <v>6AP4</v>
      </c>
    </row>
    <row r="41" spans="1:14">
      <c r="A41" s="8" t="s">
        <v>321</v>
      </c>
      <c r="B41" s="8" t="s">
        <v>41</v>
      </c>
      <c r="C41" s="8">
        <v>10</v>
      </c>
      <c r="D41" s="8">
        <v>1</v>
      </c>
      <c r="E41" s="8"/>
      <c r="F41" s="8">
        <v>250</v>
      </c>
      <c r="G41" s="8"/>
      <c r="H41" s="8">
        <v>0</v>
      </c>
      <c r="I41" s="8">
        <v>4</v>
      </c>
      <c r="J41" s="8"/>
      <c r="K41" s="8">
        <v>237</v>
      </c>
      <c r="L41" s="8"/>
      <c r="M41" s="8">
        <v>188</v>
      </c>
      <c r="N41" s="4" t="str">
        <f t="shared" ca="1" si="1"/>
        <v>6AP4</v>
      </c>
    </row>
    <row r="42" spans="1:14">
      <c r="A42" s="8" t="s">
        <v>322</v>
      </c>
      <c r="B42" s="8" t="s">
        <v>41</v>
      </c>
      <c r="C42" s="8">
        <v>30</v>
      </c>
      <c r="D42" s="8">
        <v>1</v>
      </c>
      <c r="E42" s="8"/>
      <c r="F42" s="8">
        <v>250</v>
      </c>
      <c r="G42" s="8"/>
      <c r="H42" s="8">
        <v>0</v>
      </c>
      <c r="I42" s="8">
        <v>4</v>
      </c>
      <c r="J42" s="8"/>
      <c r="K42" s="8">
        <v>77</v>
      </c>
      <c r="L42" s="8"/>
      <c r="M42" s="8">
        <v>63</v>
      </c>
      <c r="N42" s="4" t="str">
        <f t="shared" ca="1" si="1"/>
        <v>6AP4</v>
      </c>
    </row>
    <row r="43" spans="1:14">
      <c r="A43" s="8" t="s">
        <v>323</v>
      </c>
      <c r="B43" s="8" t="s">
        <v>41</v>
      </c>
      <c r="C43" s="8">
        <v>40</v>
      </c>
      <c r="D43" s="8">
        <v>1</v>
      </c>
      <c r="E43" s="8"/>
      <c r="F43" s="8">
        <v>250</v>
      </c>
      <c r="G43" s="8"/>
      <c r="H43" s="8">
        <v>0</v>
      </c>
      <c r="I43" s="8">
        <v>4</v>
      </c>
      <c r="J43" s="8"/>
      <c r="K43" s="8"/>
      <c r="L43" s="8"/>
      <c r="M43" s="8"/>
      <c r="N43" s="4" t="str">
        <f t="shared" ca="1" si="1"/>
        <v>6AP4</v>
      </c>
    </row>
    <row r="44" spans="1:14">
      <c r="A44" s="8" t="s">
        <v>324</v>
      </c>
      <c r="B44" s="8" t="s">
        <v>41</v>
      </c>
      <c r="C44" s="8">
        <v>5</v>
      </c>
      <c r="D44" s="8"/>
      <c r="E44" s="8"/>
      <c r="F44" s="8">
        <v>250</v>
      </c>
      <c r="G44" s="8"/>
      <c r="H44" s="8">
        <v>0</v>
      </c>
      <c r="I44" s="8">
        <v>4</v>
      </c>
      <c r="J44" s="8"/>
      <c r="K44" s="8">
        <v>431</v>
      </c>
      <c r="L44" s="8">
        <f>407-4</f>
        <v>403</v>
      </c>
      <c r="M44" s="8">
        <f t="shared" ref="M44:M51" si="2">L44*1/500</f>
        <v>0.80600000000000005</v>
      </c>
      <c r="N44" s="4" t="str">
        <f t="shared" ca="1" si="1"/>
        <v>6AP4</v>
      </c>
    </row>
    <row r="45" spans="1:14">
      <c r="A45" s="8" t="s">
        <v>325</v>
      </c>
      <c r="B45" s="8" t="s">
        <v>41</v>
      </c>
      <c r="C45" s="8">
        <v>10</v>
      </c>
      <c r="D45" s="8"/>
      <c r="E45" s="8"/>
      <c r="F45" s="8">
        <v>250</v>
      </c>
      <c r="G45" s="8"/>
      <c r="H45" s="8">
        <v>0</v>
      </c>
      <c r="I45" s="8">
        <v>4</v>
      </c>
      <c r="J45" s="8"/>
      <c r="K45" s="8">
        <v>239</v>
      </c>
      <c r="L45" s="8">
        <f>208-5</f>
        <v>203</v>
      </c>
      <c r="M45" s="8">
        <f t="shared" si="2"/>
        <v>0.40600000000000003</v>
      </c>
      <c r="N45" s="4" t="str">
        <f t="shared" ca="1" si="1"/>
        <v>6AP4</v>
      </c>
    </row>
    <row r="46" spans="1:14">
      <c r="A46" s="8" t="s">
        <v>326</v>
      </c>
      <c r="B46" s="8" t="s">
        <v>41</v>
      </c>
      <c r="C46" s="8">
        <v>20</v>
      </c>
      <c r="D46" s="8"/>
      <c r="E46" s="8"/>
      <c r="F46" s="8">
        <v>250</v>
      </c>
      <c r="G46" s="8"/>
      <c r="H46" s="8">
        <v>0</v>
      </c>
      <c r="I46" s="8">
        <v>4</v>
      </c>
      <c r="J46" s="8"/>
      <c r="K46" s="8">
        <v>112</v>
      </c>
      <c r="L46" s="8">
        <f>108-5</f>
        <v>103</v>
      </c>
      <c r="M46" s="8">
        <f t="shared" si="2"/>
        <v>0.20599999999999999</v>
      </c>
      <c r="N46" s="4" t="str">
        <f t="shared" ca="1" si="1"/>
        <v>6AP4</v>
      </c>
    </row>
    <row r="47" spans="1:14">
      <c r="A47" s="8" t="s">
        <v>327</v>
      </c>
      <c r="B47" s="8" t="s">
        <v>41</v>
      </c>
      <c r="C47" s="8">
        <v>30</v>
      </c>
      <c r="D47" s="8"/>
      <c r="E47" s="8"/>
      <c r="F47" s="8">
        <v>250</v>
      </c>
      <c r="G47" s="8"/>
      <c r="H47" s="8">
        <v>0</v>
      </c>
      <c r="I47" s="8">
        <v>4</v>
      </c>
      <c r="J47" s="8"/>
      <c r="K47" s="8">
        <v>80</v>
      </c>
      <c r="L47" s="8">
        <f>76-5</f>
        <v>71</v>
      </c>
      <c r="M47" s="8">
        <f t="shared" si="2"/>
        <v>0.14199999999999999</v>
      </c>
      <c r="N47" s="4" t="str">
        <f t="shared" ca="1" si="1"/>
        <v>6AP4</v>
      </c>
    </row>
    <row r="48" spans="1:14">
      <c r="A48" s="8" t="s">
        <v>328</v>
      </c>
      <c r="B48" s="8" t="s">
        <v>41</v>
      </c>
      <c r="C48" s="8">
        <v>40</v>
      </c>
      <c r="D48" s="8"/>
      <c r="E48" s="8"/>
      <c r="F48" s="8">
        <v>250</v>
      </c>
      <c r="G48" s="8"/>
      <c r="H48" s="8">
        <v>0</v>
      </c>
      <c r="I48" s="8">
        <v>4</v>
      </c>
      <c r="J48" s="8"/>
      <c r="K48" s="8">
        <v>80</v>
      </c>
      <c r="L48" s="8">
        <f>61-5</f>
        <v>56</v>
      </c>
      <c r="M48" s="8">
        <f t="shared" si="2"/>
        <v>0.112</v>
      </c>
      <c r="N48" s="4" t="str">
        <f t="shared" ca="1" si="1"/>
        <v>6AP4</v>
      </c>
    </row>
    <row r="49" spans="1:14">
      <c r="A49" s="8" t="s">
        <v>329</v>
      </c>
      <c r="B49" s="8" t="s">
        <v>41</v>
      </c>
      <c r="C49" s="8">
        <v>50</v>
      </c>
      <c r="D49" s="8"/>
      <c r="E49" s="8"/>
      <c r="F49" s="8">
        <v>250</v>
      </c>
      <c r="G49" s="8"/>
      <c r="H49" s="8">
        <v>0</v>
      </c>
      <c r="I49" s="8">
        <v>4</v>
      </c>
      <c r="J49" s="8"/>
      <c r="K49" s="8">
        <v>80</v>
      </c>
      <c r="L49" s="8">
        <f>50-5</f>
        <v>45</v>
      </c>
      <c r="M49" s="8">
        <f t="shared" si="2"/>
        <v>0.09</v>
      </c>
      <c r="N49" s="4" t="str">
        <f t="shared" ca="1" si="1"/>
        <v>6AP4</v>
      </c>
    </row>
    <row r="50" spans="1:14">
      <c r="A50" s="8" t="s">
        <v>330</v>
      </c>
      <c r="B50" s="8" t="s">
        <v>41</v>
      </c>
      <c r="C50" s="8">
        <v>70</v>
      </c>
      <c r="D50" s="8"/>
      <c r="E50" s="8"/>
      <c r="F50" s="8">
        <v>250</v>
      </c>
      <c r="G50" s="8"/>
      <c r="H50" s="8">
        <v>0</v>
      </c>
      <c r="I50" s="8">
        <v>4</v>
      </c>
      <c r="J50" s="8"/>
      <c r="K50" s="8">
        <v>48</v>
      </c>
      <c r="L50" s="8">
        <f>42-5</f>
        <v>37</v>
      </c>
      <c r="M50" s="8">
        <f t="shared" si="2"/>
        <v>7.3999999999999996E-2</v>
      </c>
      <c r="N50" s="4" t="str">
        <f t="shared" ca="1" si="1"/>
        <v>6AP4</v>
      </c>
    </row>
    <row r="51" spans="1:14">
      <c r="A51" s="8" t="s">
        <v>331</v>
      </c>
      <c r="B51" s="8" t="s">
        <v>41</v>
      </c>
      <c r="C51" s="8">
        <v>100</v>
      </c>
      <c r="D51" s="8"/>
      <c r="E51" s="8"/>
      <c r="F51" s="8">
        <v>250</v>
      </c>
      <c r="G51" s="8"/>
      <c r="H51" s="8">
        <v>0</v>
      </c>
      <c r="I51" s="8">
        <v>4</v>
      </c>
      <c r="J51" s="8"/>
      <c r="K51" s="8">
        <v>48</v>
      </c>
      <c r="L51" s="8">
        <f>34-5</f>
        <v>29</v>
      </c>
      <c r="M51" s="8">
        <f t="shared" si="2"/>
        <v>5.8000000000000003E-2</v>
      </c>
      <c r="N51" s="4" t="str">
        <f t="shared" ca="1" si="1"/>
        <v>6AP4</v>
      </c>
    </row>
    <row r="52" spans="1:14">
      <c r="A52" s="8" t="s">
        <v>332</v>
      </c>
      <c r="B52" s="8" t="s">
        <v>41</v>
      </c>
      <c r="C52" s="8">
        <v>20</v>
      </c>
      <c r="D52" s="8">
        <v>0</v>
      </c>
      <c r="E52" s="8"/>
      <c r="F52" s="8">
        <v>75</v>
      </c>
      <c r="G52" s="8"/>
      <c r="H52" s="8">
        <v>0</v>
      </c>
      <c r="I52" s="8">
        <v>4</v>
      </c>
      <c r="J52" s="8"/>
      <c r="K52" s="8">
        <v>107</v>
      </c>
      <c r="L52" s="8"/>
      <c r="M52" s="8">
        <v>9999</v>
      </c>
      <c r="N52" s="4" t="str">
        <f t="shared" ca="1" si="1"/>
        <v>6AP4</v>
      </c>
    </row>
    <row r="53" spans="1:14">
      <c r="A53" s="8" t="s">
        <v>333</v>
      </c>
      <c r="B53" s="8" t="s">
        <v>41</v>
      </c>
      <c r="C53" s="8">
        <v>40</v>
      </c>
      <c r="D53" s="8">
        <v>0</v>
      </c>
      <c r="E53" s="8"/>
      <c r="F53" s="8">
        <v>75</v>
      </c>
      <c r="G53" s="8"/>
      <c r="H53" s="8">
        <v>0</v>
      </c>
      <c r="I53" s="8">
        <v>4</v>
      </c>
      <c r="J53" s="8"/>
      <c r="K53" s="8">
        <v>76</v>
      </c>
      <c r="L53" s="8"/>
      <c r="M53" s="8">
        <v>65</v>
      </c>
      <c r="N53" s="4" t="str">
        <f t="shared" ca="1" si="1"/>
        <v>6AP4</v>
      </c>
    </row>
    <row r="54" spans="1:14">
      <c r="A54" s="8" t="s">
        <v>334</v>
      </c>
      <c r="B54" s="8" t="s">
        <v>41</v>
      </c>
      <c r="C54" s="8">
        <v>5</v>
      </c>
      <c r="D54" s="8">
        <v>0</v>
      </c>
      <c r="E54" s="8"/>
      <c r="F54" s="8">
        <v>75</v>
      </c>
      <c r="G54" s="8" t="s">
        <v>335</v>
      </c>
      <c r="H54" s="8">
        <v>0</v>
      </c>
      <c r="I54" s="8">
        <v>4</v>
      </c>
      <c r="J54" s="8"/>
      <c r="K54" s="8">
        <v>428</v>
      </c>
      <c r="L54" s="8"/>
      <c r="M54" s="8">
        <v>9999</v>
      </c>
      <c r="N54" s="4" t="str">
        <f t="shared" ca="1" si="1"/>
        <v>6AP4</v>
      </c>
    </row>
    <row r="55" spans="1:14">
      <c r="A55" s="8" t="s">
        <v>336</v>
      </c>
      <c r="B55" s="8" t="s">
        <v>41</v>
      </c>
      <c r="C55" s="8">
        <v>10</v>
      </c>
      <c r="D55" s="8">
        <v>1</v>
      </c>
      <c r="E55" s="8"/>
      <c r="F55" s="8">
        <v>75</v>
      </c>
      <c r="G55" s="8" t="s">
        <v>337</v>
      </c>
      <c r="H55" s="8">
        <v>0</v>
      </c>
      <c r="I55" s="8">
        <v>4</v>
      </c>
      <c r="J55" s="8"/>
      <c r="K55" s="8">
        <v>236</v>
      </c>
      <c r="L55" s="8"/>
      <c r="M55" s="8">
        <v>198</v>
      </c>
      <c r="N55" s="4" t="str">
        <f t="shared" ca="1" si="1"/>
        <v>6AP4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topLeftCell="D1"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4" width="5.09765625" style="1" customWidth="1"/>
    <col min="5" max="5" width="4.59765625" style="1" customWidth="1"/>
    <col min="6" max="6" width="4.69921875" style="1" customWidth="1"/>
    <col min="7" max="7" width="42.59765625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338</v>
      </c>
      <c r="B2" s="6" t="s">
        <v>27</v>
      </c>
      <c r="C2" s="6">
        <v>5</v>
      </c>
      <c r="D2" s="4">
        <v>0</v>
      </c>
      <c r="E2" s="4"/>
      <c r="F2" s="4">
        <v>250</v>
      </c>
      <c r="G2" s="5" t="s">
        <v>339</v>
      </c>
      <c r="H2" s="4">
        <v>1</v>
      </c>
      <c r="I2" s="4">
        <v>1</v>
      </c>
      <c r="J2" s="4">
        <f>MAX(I:I)</f>
        <v>5</v>
      </c>
      <c r="K2" s="4">
        <v>429</v>
      </c>
      <c r="L2" s="4">
        <v>403</v>
      </c>
      <c r="M2" s="4">
        <v>405</v>
      </c>
      <c r="N2" s="4" t="str">
        <f t="shared" ref="N2:N33" ca="1" si="0">_xlfn.CONCAT(_xlfn.SHEET(A1),B2)</f>
        <v>7AP1</v>
      </c>
    </row>
    <row r="3" spans="1:14">
      <c r="A3" s="5" t="s">
        <v>340</v>
      </c>
      <c r="B3" s="6" t="s">
        <v>27</v>
      </c>
      <c r="C3" s="6">
        <v>20</v>
      </c>
      <c r="D3" s="6">
        <v>0</v>
      </c>
      <c r="E3" s="6"/>
      <c r="F3" s="4">
        <v>250</v>
      </c>
      <c r="G3" s="4" t="s">
        <v>341</v>
      </c>
      <c r="H3" s="4">
        <v>1</v>
      </c>
      <c r="I3" s="4">
        <v>1</v>
      </c>
      <c r="J3" s="4"/>
      <c r="K3" s="4">
        <v>109</v>
      </c>
      <c r="L3" s="4">
        <v>105</v>
      </c>
      <c r="M3" s="4">
        <v>111</v>
      </c>
      <c r="N3" s="4" t="str">
        <f t="shared" ca="1" si="0"/>
        <v>7AP1</v>
      </c>
    </row>
    <row r="4" spans="1:14">
      <c r="A4" s="5" t="s">
        <v>342</v>
      </c>
      <c r="B4" s="6" t="s">
        <v>27</v>
      </c>
      <c r="C4" s="6">
        <v>40</v>
      </c>
      <c r="D4" s="6">
        <v>0</v>
      </c>
      <c r="E4" s="6"/>
      <c r="F4" s="4">
        <v>250</v>
      </c>
      <c r="G4" s="4" t="s">
        <v>343</v>
      </c>
      <c r="H4" s="4">
        <v>1</v>
      </c>
      <c r="I4" s="4">
        <v>1</v>
      </c>
      <c r="J4" s="4"/>
      <c r="K4" s="4">
        <v>77</v>
      </c>
      <c r="L4" s="4">
        <v>57</v>
      </c>
      <c r="M4" s="4">
        <v>60</v>
      </c>
      <c r="N4" s="4" t="str">
        <f t="shared" ca="1" si="0"/>
        <v>7AP1</v>
      </c>
    </row>
    <row r="5" spans="1:14">
      <c r="A5" s="4" t="s">
        <v>344</v>
      </c>
      <c r="B5" s="6" t="s">
        <v>27</v>
      </c>
      <c r="C5" s="4">
        <v>10</v>
      </c>
      <c r="D5" s="4">
        <v>0</v>
      </c>
      <c r="E5" s="4"/>
      <c r="F5" s="4">
        <v>250</v>
      </c>
      <c r="G5" s="4"/>
      <c r="H5" s="4">
        <v>1</v>
      </c>
      <c r="I5" s="4">
        <v>1</v>
      </c>
      <c r="J5" s="4"/>
      <c r="K5" s="4">
        <v>237</v>
      </c>
      <c r="L5" s="4">
        <v>204</v>
      </c>
      <c r="M5" s="4">
        <v>208</v>
      </c>
      <c r="N5" s="4" t="str">
        <f t="shared" ca="1" si="0"/>
        <v>7AP1</v>
      </c>
    </row>
    <row r="6" spans="1:14">
      <c r="A6" s="4" t="s">
        <v>345</v>
      </c>
      <c r="B6" s="6" t="s">
        <v>27</v>
      </c>
      <c r="C6" s="4">
        <v>30</v>
      </c>
      <c r="D6" s="4">
        <v>0</v>
      </c>
      <c r="E6" s="4"/>
      <c r="F6" s="4">
        <v>250</v>
      </c>
      <c r="G6" s="4"/>
      <c r="H6" s="4">
        <v>1</v>
      </c>
      <c r="I6" s="4">
        <v>1</v>
      </c>
      <c r="J6" s="4"/>
      <c r="K6" s="4">
        <v>77</v>
      </c>
      <c r="L6" s="4">
        <v>72</v>
      </c>
      <c r="M6" s="4">
        <v>75</v>
      </c>
      <c r="N6" s="4" t="str">
        <f t="shared" ca="1" si="0"/>
        <v>7AP1</v>
      </c>
    </row>
    <row r="7" spans="1:14">
      <c r="A7" s="4" t="s">
        <v>346</v>
      </c>
      <c r="B7" s="6" t="s">
        <v>27</v>
      </c>
      <c r="C7" s="4">
        <v>5</v>
      </c>
      <c r="D7" s="4">
        <v>0</v>
      </c>
      <c r="E7" s="4"/>
      <c r="F7" s="4">
        <v>250</v>
      </c>
      <c r="G7" s="4"/>
      <c r="H7" s="4">
        <v>2</v>
      </c>
      <c r="I7" s="4">
        <v>1</v>
      </c>
      <c r="J7" s="4"/>
      <c r="K7" s="4">
        <v>428</v>
      </c>
      <c r="L7" s="4">
        <v>401</v>
      </c>
      <c r="M7" s="4">
        <v>407</v>
      </c>
      <c r="N7" s="4" t="str">
        <f t="shared" ca="1" si="0"/>
        <v>7AP1</v>
      </c>
    </row>
    <row r="8" spans="1:14">
      <c r="A8" s="4" t="s">
        <v>347</v>
      </c>
      <c r="B8" s="6" t="s">
        <v>27</v>
      </c>
      <c r="C8" s="4">
        <v>5</v>
      </c>
      <c r="D8" s="4"/>
      <c r="E8" s="4"/>
      <c r="F8" s="4">
        <v>250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4" t="str">
        <f t="shared" ca="1" si="0"/>
        <v>7AP1</v>
      </c>
    </row>
    <row r="9" spans="1:14">
      <c r="A9" s="4" t="s">
        <v>348</v>
      </c>
      <c r="B9" s="6" t="s">
        <v>27</v>
      </c>
      <c r="C9" s="4">
        <v>10</v>
      </c>
      <c r="D9" s="4"/>
      <c r="E9" s="4"/>
      <c r="F9" s="4">
        <v>250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7AP1</v>
      </c>
    </row>
    <row r="10" spans="1:14">
      <c r="A10" s="4" t="s">
        <v>349</v>
      </c>
      <c r="B10" s="6" t="s">
        <v>27</v>
      </c>
      <c r="C10" s="4">
        <v>20</v>
      </c>
      <c r="D10" s="4"/>
      <c r="E10" s="4"/>
      <c r="F10" s="4">
        <v>250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7AP1</v>
      </c>
    </row>
    <row r="11" spans="1:14">
      <c r="A11" s="4" t="s">
        <v>350</v>
      </c>
      <c r="B11" s="6" t="s">
        <v>27</v>
      </c>
      <c r="C11" s="4">
        <v>30</v>
      </c>
      <c r="D11" s="4"/>
      <c r="E11" s="4"/>
      <c r="F11" s="4">
        <v>250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7AP1</v>
      </c>
    </row>
    <row r="12" spans="1:14">
      <c r="A12" s="3" t="s">
        <v>351</v>
      </c>
      <c r="B12" s="6" t="s">
        <v>27</v>
      </c>
      <c r="C12" s="3">
        <v>40</v>
      </c>
      <c r="D12" s="4"/>
      <c r="E12" s="4"/>
      <c r="F12" s="4">
        <v>250</v>
      </c>
      <c r="G12" s="3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7AP1</v>
      </c>
    </row>
    <row r="13" spans="1:14">
      <c r="A13" s="7" t="s">
        <v>352</v>
      </c>
      <c r="B13" s="8" t="s">
        <v>17</v>
      </c>
      <c r="C13" s="7">
        <v>40</v>
      </c>
      <c r="D13" s="8">
        <v>0</v>
      </c>
      <c r="E13" s="8"/>
      <c r="F13" s="8">
        <v>150</v>
      </c>
      <c r="G13" s="7" t="s">
        <v>353</v>
      </c>
      <c r="H13" s="8">
        <v>1</v>
      </c>
      <c r="I13" s="8">
        <v>2</v>
      </c>
      <c r="J13" s="8"/>
      <c r="K13" s="8">
        <v>77</v>
      </c>
      <c r="L13" s="8">
        <v>57</v>
      </c>
      <c r="M13" s="8">
        <v>55</v>
      </c>
      <c r="N13" s="4" t="str">
        <f t="shared" ca="1" si="0"/>
        <v>7AP2</v>
      </c>
    </row>
    <row r="14" spans="1:14">
      <c r="A14" s="7" t="s">
        <v>354</v>
      </c>
      <c r="B14" s="8" t="s">
        <v>17</v>
      </c>
      <c r="C14" s="7">
        <v>10</v>
      </c>
      <c r="D14" s="8">
        <v>0</v>
      </c>
      <c r="E14" s="8"/>
      <c r="F14" s="8">
        <v>150</v>
      </c>
      <c r="G14" s="7" t="s">
        <v>355</v>
      </c>
      <c r="H14" s="8">
        <v>1</v>
      </c>
      <c r="I14" s="8">
        <v>2</v>
      </c>
      <c r="J14" s="8"/>
      <c r="K14" s="8">
        <v>237</v>
      </c>
      <c r="L14" s="8"/>
      <c r="M14" s="8">
        <v>222</v>
      </c>
      <c r="N14" s="4" t="str">
        <f t="shared" ca="1" si="0"/>
        <v>7AP2</v>
      </c>
    </row>
    <row r="15" spans="1:14">
      <c r="A15" s="7" t="s">
        <v>356</v>
      </c>
      <c r="B15" s="8" t="s">
        <v>17</v>
      </c>
      <c r="C15" s="7">
        <v>5</v>
      </c>
      <c r="D15" s="8">
        <v>0</v>
      </c>
      <c r="E15" s="8"/>
      <c r="F15" s="8">
        <v>150</v>
      </c>
      <c r="G15" s="8" t="s">
        <v>357</v>
      </c>
      <c r="H15" s="8">
        <v>1</v>
      </c>
      <c r="I15" s="8">
        <v>2</v>
      </c>
      <c r="J15" s="8"/>
      <c r="K15" s="8">
        <v>428</v>
      </c>
      <c r="L15" s="8"/>
      <c r="M15" s="8">
        <v>416</v>
      </c>
      <c r="N15" s="4" t="str">
        <f t="shared" ca="1" si="0"/>
        <v>7AP2</v>
      </c>
    </row>
    <row r="16" spans="1:14">
      <c r="A16" s="7" t="s">
        <v>358</v>
      </c>
      <c r="B16" s="8" t="s">
        <v>17</v>
      </c>
      <c r="C16" s="7">
        <v>20</v>
      </c>
      <c r="D16" s="8">
        <v>1</v>
      </c>
      <c r="E16" s="8"/>
      <c r="F16" s="8">
        <v>150</v>
      </c>
      <c r="G16" s="7" t="s">
        <v>359</v>
      </c>
      <c r="H16" s="8">
        <v>1</v>
      </c>
      <c r="I16" s="8">
        <v>2</v>
      </c>
      <c r="J16" s="8"/>
      <c r="K16" s="8">
        <v>109</v>
      </c>
      <c r="L16" s="8"/>
      <c r="M16" s="8">
        <v>102</v>
      </c>
      <c r="N16" s="4" t="str">
        <f t="shared" ca="1" si="0"/>
        <v>7AP2</v>
      </c>
    </row>
    <row r="17" spans="1:14">
      <c r="A17" s="7" t="s">
        <v>360</v>
      </c>
      <c r="B17" s="8" t="s">
        <v>17</v>
      </c>
      <c r="C17" s="7">
        <v>30</v>
      </c>
      <c r="D17" s="8">
        <v>0</v>
      </c>
      <c r="E17" s="8"/>
      <c r="F17" s="8">
        <v>150</v>
      </c>
      <c r="G17" s="7"/>
      <c r="H17" s="8">
        <v>1</v>
      </c>
      <c r="I17" s="8">
        <v>2</v>
      </c>
      <c r="J17" s="8"/>
      <c r="K17" s="8">
        <v>77</v>
      </c>
      <c r="L17" s="8"/>
      <c r="M17" s="8">
        <v>77</v>
      </c>
      <c r="N17" s="4" t="str">
        <f t="shared" ca="1" si="0"/>
        <v>7AP2</v>
      </c>
    </row>
    <row r="18" spans="1:14">
      <c r="A18" s="7" t="s">
        <v>361</v>
      </c>
      <c r="B18" s="8" t="s">
        <v>17</v>
      </c>
      <c r="C18" s="7">
        <v>40</v>
      </c>
      <c r="D18" s="8">
        <v>1</v>
      </c>
      <c r="E18" s="8"/>
      <c r="F18" s="8">
        <v>150</v>
      </c>
      <c r="G18" s="7" t="s">
        <v>362</v>
      </c>
      <c r="H18" s="8">
        <v>2</v>
      </c>
      <c r="I18" s="8">
        <v>2</v>
      </c>
      <c r="J18" s="8"/>
      <c r="K18" s="8">
        <v>77</v>
      </c>
      <c r="L18" s="8"/>
      <c r="M18" s="8">
        <v>51</v>
      </c>
      <c r="N18" s="4" t="str">
        <f t="shared" ca="1" si="0"/>
        <v>7AP2</v>
      </c>
    </row>
    <row r="19" spans="1:14">
      <c r="A19" s="7" t="s">
        <v>363</v>
      </c>
      <c r="B19" s="8" t="s">
        <v>17</v>
      </c>
      <c r="C19" s="7">
        <v>5</v>
      </c>
      <c r="D19" s="8"/>
      <c r="E19" s="8"/>
      <c r="F19" s="8">
        <v>150</v>
      </c>
      <c r="G19" s="7"/>
      <c r="H19" s="8">
        <v>0</v>
      </c>
      <c r="I19" s="8">
        <v>2</v>
      </c>
      <c r="J19" s="8"/>
      <c r="K19" s="8">
        <v>-1</v>
      </c>
      <c r="L19" s="8">
        <v>-1</v>
      </c>
      <c r="M19" s="8">
        <v>-1</v>
      </c>
      <c r="N19" s="4" t="str">
        <f t="shared" ca="1" si="0"/>
        <v>7AP2</v>
      </c>
    </row>
    <row r="20" spans="1:14">
      <c r="A20" s="8" t="s">
        <v>364</v>
      </c>
      <c r="B20" s="8" t="s">
        <v>17</v>
      </c>
      <c r="C20" s="8">
        <v>10</v>
      </c>
      <c r="D20" s="8"/>
      <c r="E20" s="8"/>
      <c r="F20" s="8">
        <v>150</v>
      </c>
      <c r="G20" s="8"/>
      <c r="H20" s="8">
        <v>0</v>
      </c>
      <c r="I20" s="8">
        <v>2</v>
      </c>
      <c r="J20" s="8"/>
      <c r="K20" s="8">
        <v>-1</v>
      </c>
      <c r="L20" s="8">
        <v>-1</v>
      </c>
      <c r="M20" s="8">
        <v>-1</v>
      </c>
      <c r="N20" s="4" t="str">
        <f t="shared" ca="1" si="0"/>
        <v>7AP2</v>
      </c>
    </row>
    <row r="21" spans="1:14">
      <c r="A21" s="8" t="s">
        <v>365</v>
      </c>
      <c r="B21" s="8" t="s">
        <v>17</v>
      </c>
      <c r="C21" s="8">
        <v>20</v>
      </c>
      <c r="D21" s="8"/>
      <c r="E21" s="8"/>
      <c r="F21" s="8">
        <v>150</v>
      </c>
      <c r="G21" s="8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7AP2</v>
      </c>
    </row>
    <row r="22" spans="1:14">
      <c r="A22" s="8" t="s">
        <v>366</v>
      </c>
      <c r="B22" s="8" t="s">
        <v>17</v>
      </c>
      <c r="C22" s="8">
        <v>30</v>
      </c>
      <c r="D22" s="8"/>
      <c r="E22" s="8"/>
      <c r="F22" s="8">
        <v>150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7AP2</v>
      </c>
    </row>
    <row r="23" spans="1:14">
      <c r="A23" s="8" t="s">
        <v>367</v>
      </c>
      <c r="B23" s="8" t="s">
        <v>17</v>
      </c>
      <c r="C23" s="8">
        <v>40</v>
      </c>
      <c r="D23" s="8"/>
      <c r="E23" s="8"/>
      <c r="F23" s="8">
        <v>150</v>
      </c>
      <c r="G23" s="8" t="s">
        <v>368</v>
      </c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7AP2</v>
      </c>
    </row>
    <row r="24" spans="1:14">
      <c r="A24" s="4" t="s">
        <v>369</v>
      </c>
      <c r="B24" s="3" t="s">
        <v>39</v>
      </c>
      <c r="C24" s="4">
        <v>20</v>
      </c>
      <c r="D24" s="4">
        <v>1</v>
      </c>
      <c r="E24" s="4"/>
      <c r="F24" s="3">
        <v>250</v>
      </c>
      <c r="G24" s="4" t="s">
        <v>370</v>
      </c>
      <c r="H24" s="4">
        <v>1</v>
      </c>
      <c r="I24" s="4">
        <v>3</v>
      </c>
      <c r="J24" s="4" t="s">
        <v>371</v>
      </c>
      <c r="K24" s="4">
        <v>109</v>
      </c>
      <c r="L24" s="4"/>
      <c r="M24" s="4">
        <v>76</v>
      </c>
      <c r="N24" s="4" t="str">
        <f t="shared" ca="1" si="0"/>
        <v>7AP3</v>
      </c>
    </row>
    <row r="25" spans="1:14">
      <c r="A25" s="4" t="s">
        <v>372</v>
      </c>
      <c r="B25" s="3" t="s">
        <v>39</v>
      </c>
      <c r="C25" s="4">
        <v>5</v>
      </c>
      <c r="D25" s="4">
        <v>1</v>
      </c>
      <c r="E25" s="4"/>
      <c r="F25" s="3">
        <v>250</v>
      </c>
      <c r="G25" s="4"/>
      <c r="H25" s="4">
        <v>1</v>
      </c>
      <c r="I25" s="4">
        <v>3</v>
      </c>
      <c r="J25" s="4"/>
      <c r="K25" s="4">
        <v>428</v>
      </c>
      <c r="L25" s="4"/>
      <c r="M25" s="4">
        <v>389</v>
      </c>
      <c r="N25" s="4" t="str">
        <f t="shared" ca="1" si="0"/>
        <v>7AP3</v>
      </c>
    </row>
    <row r="26" spans="1:14">
      <c r="A26" s="4" t="s">
        <v>373</v>
      </c>
      <c r="B26" s="3" t="s">
        <v>39</v>
      </c>
      <c r="C26" s="4">
        <v>10</v>
      </c>
      <c r="D26" s="4">
        <v>0</v>
      </c>
      <c r="E26" s="4"/>
      <c r="F26" s="3">
        <v>250</v>
      </c>
      <c r="G26" s="4" t="s">
        <v>374</v>
      </c>
      <c r="H26" s="4">
        <v>1</v>
      </c>
      <c r="I26" s="4">
        <v>3</v>
      </c>
      <c r="J26" s="4"/>
      <c r="K26" s="4">
        <v>237</v>
      </c>
      <c r="L26" s="4"/>
      <c r="M26" s="4">
        <v>199</v>
      </c>
      <c r="N26" s="4" t="str">
        <f t="shared" ca="1" si="0"/>
        <v>7AP3</v>
      </c>
    </row>
    <row r="27" spans="1:14">
      <c r="A27" s="4" t="s">
        <v>375</v>
      </c>
      <c r="B27" s="3" t="s">
        <v>39</v>
      </c>
      <c r="C27" s="4">
        <v>40</v>
      </c>
      <c r="D27" s="4">
        <v>0</v>
      </c>
      <c r="E27" s="4"/>
      <c r="F27" s="3">
        <v>250</v>
      </c>
      <c r="G27" s="4" t="s">
        <v>376</v>
      </c>
      <c r="H27" s="4">
        <v>1</v>
      </c>
      <c r="I27" s="4">
        <v>3</v>
      </c>
      <c r="J27" s="4"/>
      <c r="K27" s="4">
        <v>77</v>
      </c>
      <c r="L27" s="4"/>
      <c r="M27" s="4">
        <v>9999</v>
      </c>
      <c r="N27" s="4" t="str">
        <f t="shared" ca="1" si="0"/>
        <v>7AP3</v>
      </c>
    </row>
    <row r="28" spans="1:14">
      <c r="A28" s="4" t="s">
        <v>377</v>
      </c>
      <c r="B28" s="3" t="s">
        <v>39</v>
      </c>
      <c r="C28" s="4">
        <v>30</v>
      </c>
      <c r="D28" s="4">
        <v>0</v>
      </c>
      <c r="E28" s="4"/>
      <c r="F28" s="3">
        <v>250</v>
      </c>
      <c r="G28" s="9" t="s">
        <v>378</v>
      </c>
      <c r="H28" s="4">
        <v>1</v>
      </c>
      <c r="I28" s="4">
        <v>3</v>
      </c>
      <c r="J28" s="4" t="s">
        <v>379</v>
      </c>
      <c r="K28" s="4">
        <v>77</v>
      </c>
      <c r="L28" s="4"/>
      <c r="M28" s="4">
        <v>9999</v>
      </c>
      <c r="N28" s="4" t="str">
        <f t="shared" ca="1" si="0"/>
        <v>7AP3</v>
      </c>
    </row>
    <row r="29" spans="1:14">
      <c r="A29" s="4" t="s">
        <v>380</v>
      </c>
      <c r="B29" s="3" t="s">
        <v>39</v>
      </c>
      <c r="C29" s="4">
        <v>20</v>
      </c>
      <c r="D29" s="4">
        <v>0</v>
      </c>
      <c r="E29" s="4"/>
      <c r="F29" s="3">
        <v>250</v>
      </c>
      <c r="G29" s="4" t="s">
        <v>379</v>
      </c>
      <c r="H29" s="4">
        <v>2</v>
      </c>
      <c r="I29" s="4">
        <v>3</v>
      </c>
      <c r="J29" s="4" t="s">
        <v>379</v>
      </c>
      <c r="K29" s="4">
        <v>108</v>
      </c>
      <c r="L29" s="4"/>
      <c r="M29" s="4">
        <v>9999</v>
      </c>
      <c r="N29" s="4" t="str">
        <f t="shared" ca="1" si="0"/>
        <v>7AP3</v>
      </c>
    </row>
    <row r="30" spans="1:14">
      <c r="A30" s="4" t="s">
        <v>381</v>
      </c>
      <c r="B30" s="3" t="s">
        <v>39</v>
      </c>
      <c r="C30" s="4">
        <v>30</v>
      </c>
      <c r="D30" s="4"/>
      <c r="E30" s="4"/>
      <c r="F30" s="3">
        <v>250</v>
      </c>
      <c r="G30" s="4"/>
      <c r="H30" s="4">
        <v>0</v>
      </c>
      <c r="I30" s="4">
        <v>3</v>
      </c>
      <c r="J30" s="4"/>
      <c r="K30" s="4">
        <v>-1</v>
      </c>
      <c r="L30" s="4">
        <v>-1</v>
      </c>
      <c r="M30" s="4">
        <v>-1</v>
      </c>
      <c r="N30" s="4" t="str">
        <f t="shared" ca="1" si="0"/>
        <v>7AP3</v>
      </c>
    </row>
    <row r="31" spans="1:14">
      <c r="A31" s="4" t="s">
        <v>382</v>
      </c>
      <c r="B31" s="3" t="s">
        <v>39</v>
      </c>
      <c r="C31" s="4">
        <v>5</v>
      </c>
      <c r="D31" s="4"/>
      <c r="E31" s="4"/>
      <c r="F31" s="3">
        <v>250</v>
      </c>
      <c r="G31" s="4"/>
      <c r="H31" s="4">
        <v>0</v>
      </c>
      <c r="I31" s="4">
        <v>3</v>
      </c>
      <c r="J31" s="4"/>
      <c r="K31" s="4">
        <v>-1</v>
      </c>
      <c r="L31" s="4">
        <v>-1</v>
      </c>
      <c r="M31" s="4">
        <v>-1</v>
      </c>
      <c r="N31" s="4" t="str">
        <f t="shared" ca="1" si="0"/>
        <v>7AP3</v>
      </c>
    </row>
    <row r="32" spans="1:14">
      <c r="A32" s="4" t="s">
        <v>383</v>
      </c>
      <c r="B32" s="3" t="s">
        <v>39</v>
      </c>
      <c r="C32" s="4">
        <v>20</v>
      </c>
      <c r="D32" s="4"/>
      <c r="E32" s="4"/>
      <c r="F32" s="3">
        <v>250</v>
      </c>
      <c r="G32" s="4"/>
      <c r="H32" s="4">
        <v>0</v>
      </c>
      <c r="I32" s="4">
        <v>3</v>
      </c>
      <c r="J32" s="4"/>
      <c r="K32" s="4">
        <v>-1</v>
      </c>
      <c r="L32" s="4">
        <v>-1</v>
      </c>
      <c r="M32" s="4">
        <v>-1</v>
      </c>
      <c r="N32" s="4" t="str">
        <f t="shared" ca="1" si="0"/>
        <v>7AP3</v>
      </c>
    </row>
    <row r="33" spans="1:14">
      <c r="A33" s="8" t="s">
        <v>384</v>
      </c>
      <c r="B33" s="8" t="s">
        <v>41</v>
      </c>
      <c r="C33" s="8">
        <v>40</v>
      </c>
      <c r="D33" s="8">
        <v>0</v>
      </c>
      <c r="E33" s="8">
        <v>0</v>
      </c>
      <c r="F33" s="8">
        <v>75</v>
      </c>
      <c r="G33" s="8" t="s">
        <v>385</v>
      </c>
      <c r="H33" s="8">
        <v>1</v>
      </c>
      <c r="I33" s="8">
        <v>4</v>
      </c>
      <c r="J33" s="8" t="s">
        <v>386</v>
      </c>
      <c r="K33" s="8">
        <v>77</v>
      </c>
      <c r="L33" s="8"/>
      <c r="M33" s="8">
        <v>9999</v>
      </c>
      <c r="N33" s="4" t="str">
        <f t="shared" ca="1" si="0"/>
        <v>7AP4</v>
      </c>
    </row>
    <row r="34" spans="1:14">
      <c r="A34" s="8" t="s">
        <v>387</v>
      </c>
      <c r="B34" s="8" t="s">
        <v>41</v>
      </c>
      <c r="C34" s="8">
        <v>20</v>
      </c>
      <c r="D34" s="8">
        <v>0</v>
      </c>
      <c r="E34" s="8"/>
      <c r="F34" s="8">
        <v>75</v>
      </c>
      <c r="G34" s="8" t="s">
        <v>388</v>
      </c>
      <c r="H34" s="8">
        <v>1</v>
      </c>
      <c r="I34" s="8">
        <v>4</v>
      </c>
      <c r="J34" s="8"/>
      <c r="K34" s="8">
        <v>109</v>
      </c>
      <c r="L34" s="8"/>
      <c r="M34" s="8">
        <v>110</v>
      </c>
      <c r="N34" s="4" t="str">
        <f t="shared" ref="N34:N55" ca="1" si="1">_xlfn.CONCAT(_xlfn.SHEET(A33),B34)</f>
        <v>7AP4</v>
      </c>
    </row>
    <row r="35" spans="1:14">
      <c r="A35" s="8" t="s">
        <v>389</v>
      </c>
      <c r="B35" s="8" t="s">
        <v>41</v>
      </c>
      <c r="C35" s="8">
        <v>5</v>
      </c>
      <c r="D35" s="8">
        <v>0</v>
      </c>
      <c r="E35" s="8"/>
      <c r="F35" s="8">
        <v>75</v>
      </c>
      <c r="G35" s="8" t="s">
        <v>390</v>
      </c>
      <c r="H35" s="8">
        <v>1</v>
      </c>
      <c r="I35" s="8">
        <v>4</v>
      </c>
      <c r="J35" s="8"/>
      <c r="K35" s="8">
        <v>427</v>
      </c>
      <c r="L35" s="8"/>
      <c r="M35" s="8">
        <v>397</v>
      </c>
      <c r="N35" s="4" t="str">
        <f t="shared" ca="1" si="1"/>
        <v>7AP4</v>
      </c>
    </row>
    <row r="36" spans="1:14">
      <c r="A36" s="8" t="s">
        <v>391</v>
      </c>
      <c r="B36" s="8" t="s">
        <v>41</v>
      </c>
      <c r="C36" s="8">
        <v>10</v>
      </c>
      <c r="D36" s="8">
        <v>0</v>
      </c>
      <c r="E36" s="8"/>
      <c r="F36" s="8">
        <v>75</v>
      </c>
      <c r="G36" s="8"/>
      <c r="H36" s="8">
        <v>1</v>
      </c>
      <c r="I36" s="8">
        <v>4</v>
      </c>
      <c r="J36" s="8"/>
      <c r="K36" s="8">
        <v>237</v>
      </c>
      <c r="L36" s="8">
        <v>210</v>
      </c>
      <c r="M36" s="8"/>
      <c r="N36" s="4" t="str">
        <f t="shared" ca="1" si="1"/>
        <v>7AP4</v>
      </c>
    </row>
    <row r="37" spans="1:14">
      <c r="A37" s="8" t="s">
        <v>392</v>
      </c>
      <c r="B37" s="8" t="s">
        <v>41</v>
      </c>
      <c r="C37" s="8">
        <v>30</v>
      </c>
      <c r="D37" s="8">
        <v>0</v>
      </c>
      <c r="E37" s="8"/>
      <c r="F37" s="8">
        <v>75</v>
      </c>
      <c r="G37" s="8"/>
      <c r="H37" s="8">
        <v>1</v>
      </c>
      <c r="I37" s="8">
        <v>4</v>
      </c>
      <c r="J37" s="8"/>
      <c r="K37" s="8">
        <v>77</v>
      </c>
      <c r="L37" s="8"/>
      <c r="M37" s="8">
        <v>75</v>
      </c>
      <c r="N37" s="4" t="str">
        <f t="shared" ca="1" si="1"/>
        <v>7AP4</v>
      </c>
    </row>
    <row r="38" spans="1:14">
      <c r="A38" s="8" t="s">
        <v>393</v>
      </c>
      <c r="B38" s="8" t="s">
        <v>41</v>
      </c>
      <c r="C38" s="8">
        <v>40</v>
      </c>
      <c r="D38" s="8">
        <v>0</v>
      </c>
      <c r="E38" s="8">
        <v>1</v>
      </c>
      <c r="F38" s="8">
        <v>75</v>
      </c>
      <c r="G38" s="8" t="s">
        <v>394</v>
      </c>
      <c r="H38" s="8">
        <v>2</v>
      </c>
      <c r="I38" s="8">
        <v>4</v>
      </c>
      <c r="J38" s="8"/>
      <c r="K38" s="8">
        <v>77</v>
      </c>
      <c r="L38" s="8"/>
      <c r="M38" s="8">
        <v>60</v>
      </c>
      <c r="N38" s="4" t="str">
        <f t="shared" ca="1" si="1"/>
        <v>7AP4</v>
      </c>
    </row>
    <row r="39" spans="1:14">
      <c r="A39" s="8" t="s">
        <v>395</v>
      </c>
      <c r="B39" s="8" t="s">
        <v>41</v>
      </c>
      <c r="C39" s="8">
        <v>5</v>
      </c>
      <c r="D39" s="8"/>
      <c r="E39" s="8"/>
      <c r="F39" s="8">
        <v>75</v>
      </c>
      <c r="G39" s="8"/>
      <c r="H39" s="8">
        <v>0</v>
      </c>
      <c r="I39" s="8">
        <v>4</v>
      </c>
      <c r="J39" s="8"/>
      <c r="K39" s="8">
        <v>-1</v>
      </c>
      <c r="L39" s="8">
        <v>-1</v>
      </c>
      <c r="M39" s="8">
        <v>-1</v>
      </c>
      <c r="N39" s="4" t="str">
        <f t="shared" ca="1" si="1"/>
        <v>7AP4</v>
      </c>
    </row>
    <row r="40" spans="1:14">
      <c r="A40" s="8" t="s">
        <v>396</v>
      </c>
      <c r="B40" s="8" t="s">
        <v>41</v>
      </c>
      <c r="C40" s="8">
        <v>10</v>
      </c>
      <c r="D40" s="8"/>
      <c r="E40" s="8"/>
      <c r="F40" s="8">
        <v>75</v>
      </c>
      <c r="G40" s="8"/>
      <c r="H40" s="8">
        <v>0</v>
      </c>
      <c r="I40" s="8">
        <v>4</v>
      </c>
      <c r="J40" s="8"/>
      <c r="K40" s="8">
        <v>-1</v>
      </c>
      <c r="L40" s="8">
        <v>-1</v>
      </c>
      <c r="M40" s="8">
        <v>-1</v>
      </c>
      <c r="N40" s="4" t="str">
        <f t="shared" ca="1" si="1"/>
        <v>7AP4</v>
      </c>
    </row>
    <row r="41" spans="1:14">
      <c r="A41" s="8" t="s">
        <v>397</v>
      </c>
      <c r="B41" s="8" t="s">
        <v>41</v>
      </c>
      <c r="C41" s="8">
        <v>20</v>
      </c>
      <c r="D41" s="8"/>
      <c r="E41" s="8"/>
      <c r="F41" s="8">
        <v>75</v>
      </c>
      <c r="G41" s="8"/>
      <c r="H41" s="8">
        <v>0</v>
      </c>
      <c r="I41" s="8">
        <v>4</v>
      </c>
      <c r="J41" s="8"/>
      <c r="K41" s="8">
        <v>-1</v>
      </c>
      <c r="L41" s="8">
        <v>-1</v>
      </c>
      <c r="M41" s="8">
        <v>-1</v>
      </c>
      <c r="N41" s="4" t="str">
        <f t="shared" ca="1" si="1"/>
        <v>7AP4</v>
      </c>
    </row>
    <row r="42" spans="1:14">
      <c r="A42" s="8" t="s">
        <v>398</v>
      </c>
      <c r="B42" s="8" t="s">
        <v>41</v>
      </c>
      <c r="C42" s="8">
        <v>30</v>
      </c>
      <c r="D42" s="8"/>
      <c r="E42" s="8"/>
      <c r="F42" s="8">
        <v>75</v>
      </c>
      <c r="G42" s="8"/>
      <c r="H42" s="8">
        <v>0</v>
      </c>
      <c r="I42" s="8">
        <v>4</v>
      </c>
      <c r="J42" s="8"/>
      <c r="K42" s="8">
        <v>-1</v>
      </c>
      <c r="L42" s="8">
        <v>-1</v>
      </c>
      <c r="M42" s="8">
        <v>-1</v>
      </c>
      <c r="N42" s="4" t="str">
        <f t="shared" ca="1" si="1"/>
        <v>7AP4</v>
      </c>
    </row>
    <row r="43" spans="1:14" ht="13.5" customHeight="1">
      <c r="A43" s="8" t="s">
        <v>399</v>
      </c>
      <c r="B43" s="8" t="s">
        <v>41</v>
      </c>
      <c r="C43" s="8">
        <v>40</v>
      </c>
      <c r="D43" s="8"/>
      <c r="E43" s="8"/>
      <c r="F43" s="8">
        <v>75</v>
      </c>
      <c r="G43" s="8"/>
      <c r="H43" s="8">
        <v>0</v>
      </c>
      <c r="I43" s="8">
        <v>4</v>
      </c>
      <c r="J43" s="8"/>
      <c r="K43" s="8">
        <v>-1</v>
      </c>
      <c r="L43" s="8">
        <v>-1</v>
      </c>
      <c r="M43" s="8">
        <v>-1</v>
      </c>
      <c r="N43" s="4" t="str">
        <f t="shared" ca="1" si="1"/>
        <v>7AP4</v>
      </c>
    </row>
    <row r="44" spans="1:14">
      <c r="A44" s="4" t="s">
        <v>400</v>
      </c>
      <c r="B44" s="4" t="s">
        <v>43</v>
      </c>
      <c r="C44" s="4">
        <v>5</v>
      </c>
      <c r="D44" s="4">
        <v>0</v>
      </c>
      <c r="E44" s="4"/>
      <c r="F44" s="4">
        <v>150</v>
      </c>
      <c r="G44" s="4"/>
      <c r="H44" s="4">
        <v>1</v>
      </c>
      <c r="I44" s="4">
        <v>5</v>
      </c>
      <c r="J44" s="4" t="s">
        <v>401</v>
      </c>
      <c r="K44" s="4">
        <v>428</v>
      </c>
      <c r="L44" s="4"/>
      <c r="M44" s="4">
        <v>404</v>
      </c>
      <c r="N44" s="4" t="str">
        <f t="shared" ca="1" si="1"/>
        <v>7AP5</v>
      </c>
    </row>
    <row r="45" spans="1:14">
      <c r="A45" s="4" t="s">
        <v>402</v>
      </c>
      <c r="B45" s="4" t="s">
        <v>43</v>
      </c>
      <c r="C45" s="4">
        <v>10</v>
      </c>
      <c r="D45" s="4">
        <v>0</v>
      </c>
      <c r="E45" s="4"/>
      <c r="F45" s="4">
        <v>150</v>
      </c>
      <c r="G45" s="4" t="s">
        <v>403</v>
      </c>
      <c r="H45" s="4">
        <v>1</v>
      </c>
      <c r="I45" s="4">
        <v>5</v>
      </c>
      <c r="J45" s="4"/>
      <c r="K45" s="4">
        <v>237</v>
      </c>
      <c r="L45" s="4">
        <v>201</v>
      </c>
      <c r="M45" s="4">
        <v>196</v>
      </c>
      <c r="N45" s="4" t="str">
        <f t="shared" ca="1" si="1"/>
        <v>7AP5</v>
      </c>
    </row>
    <row r="46" spans="1:14">
      <c r="A46" s="4" t="s">
        <v>404</v>
      </c>
      <c r="B46" s="4" t="s">
        <v>43</v>
      </c>
      <c r="C46" s="4">
        <v>40</v>
      </c>
      <c r="D46" s="4">
        <v>0</v>
      </c>
      <c r="E46" s="4"/>
      <c r="F46" s="4">
        <v>150</v>
      </c>
      <c r="G46" s="4"/>
      <c r="H46" s="4">
        <v>1</v>
      </c>
      <c r="I46" s="4">
        <v>5</v>
      </c>
      <c r="J46" s="4"/>
      <c r="K46" s="4">
        <v>77</v>
      </c>
      <c r="L46" s="4"/>
      <c r="M46" s="4">
        <v>57</v>
      </c>
      <c r="N46" s="4" t="str">
        <f t="shared" ca="1" si="1"/>
        <v>7AP5</v>
      </c>
    </row>
    <row r="47" spans="1:14">
      <c r="A47" s="4" t="s">
        <v>405</v>
      </c>
      <c r="B47" s="4" t="s">
        <v>43</v>
      </c>
      <c r="C47" s="4">
        <v>20</v>
      </c>
      <c r="D47" s="4">
        <v>0</v>
      </c>
      <c r="E47" s="4"/>
      <c r="F47" s="4">
        <v>150</v>
      </c>
      <c r="G47" s="4"/>
      <c r="H47" s="4">
        <v>1</v>
      </c>
      <c r="I47" s="4">
        <v>5</v>
      </c>
      <c r="J47" s="4"/>
      <c r="K47" s="4">
        <v>109</v>
      </c>
      <c r="L47" s="4"/>
      <c r="M47" s="4">
        <v>112</v>
      </c>
      <c r="N47" s="4" t="str">
        <f t="shared" ca="1" si="1"/>
        <v>7AP5</v>
      </c>
    </row>
    <row r="48" spans="1:14">
      <c r="A48" s="4" t="s">
        <v>406</v>
      </c>
      <c r="B48" s="4" t="s">
        <v>43</v>
      </c>
      <c r="C48" s="4">
        <v>30</v>
      </c>
      <c r="D48" s="4">
        <v>0</v>
      </c>
      <c r="E48" s="4"/>
      <c r="F48" s="4">
        <v>150</v>
      </c>
      <c r="G48" s="4"/>
      <c r="H48" s="4">
        <v>1</v>
      </c>
      <c r="I48" s="4">
        <v>5</v>
      </c>
      <c r="J48" s="4"/>
      <c r="K48" s="4">
        <v>77</v>
      </c>
      <c r="L48" s="4"/>
      <c r="M48" s="4">
        <v>76</v>
      </c>
      <c r="N48" s="4" t="str">
        <f t="shared" ca="1" si="1"/>
        <v>7AP5</v>
      </c>
    </row>
    <row r="49" spans="1:14">
      <c r="A49" s="4" t="s">
        <v>407</v>
      </c>
      <c r="B49" s="4" t="s">
        <v>43</v>
      </c>
      <c r="C49" s="4">
        <v>5</v>
      </c>
      <c r="D49" s="4">
        <v>0</v>
      </c>
      <c r="E49" s="4"/>
      <c r="F49" s="4">
        <v>150</v>
      </c>
      <c r="G49" s="4"/>
      <c r="H49" s="4">
        <v>2</v>
      </c>
      <c r="I49" s="4">
        <v>5</v>
      </c>
      <c r="J49" s="4"/>
      <c r="K49" s="4">
        <v>428</v>
      </c>
      <c r="L49" s="4"/>
      <c r="M49" s="4">
        <v>400</v>
      </c>
      <c r="N49" s="4" t="str">
        <f t="shared" ca="1" si="1"/>
        <v>7AP5</v>
      </c>
    </row>
    <row r="50" spans="1:14">
      <c r="A50" s="4" t="s">
        <v>408</v>
      </c>
      <c r="B50" s="4" t="s">
        <v>43</v>
      </c>
      <c r="C50" s="4">
        <v>5</v>
      </c>
      <c r="D50" s="4"/>
      <c r="E50" s="4"/>
      <c r="F50" s="4">
        <v>150</v>
      </c>
      <c r="G50" s="4"/>
      <c r="H50" s="4">
        <v>0</v>
      </c>
      <c r="I50" s="4">
        <v>5</v>
      </c>
      <c r="J50" s="4"/>
      <c r="K50" s="4"/>
      <c r="L50" s="4"/>
      <c r="M50" s="4"/>
      <c r="N50" s="4" t="str">
        <f t="shared" ca="1" si="1"/>
        <v>7AP5</v>
      </c>
    </row>
    <row r="51" spans="1:14">
      <c r="A51" s="4" t="s">
        <v>409</v>
      </c>
      <c r="B51" s="4" t="s">
        <v>43</v>
      </c>
      <c r="C51" s="4">
        <v>10</v>
      </c>
      <c r="D51" s="4"/>
      <c r="E51" s="4"/>
      <c r="F51" s="4">
        <v>150</v>
      </c>
      <c r="G51" s="4"/>
      <c r="H51" s="4">
        <v>0</v>
      </c>
      <c r="I51" s="4">
        <v>5</v>
      </c>
      <c r="J51" s="4"/>
      <c r="K51" s="4"/>
      <c r="L51" s="4"/>
      <c r="M51" s="4"/>
      <c r="N51" s="4" t="str">
        <f t="shared" ca="1" si="1"/>
        <v>7AP5</v>
      </c>
    </row>
    <row r="52" spans="1:14">
      <c r="A52" s="4" t="s">
        <v>410</v>
      </c>
      <c r="B52" s="4" t="s">
        <v>43</v>
      </c>
      <c r="C52" s="4">
        <v>20</v>
      </c>
      <c r="D52" s="4"/>
      <c r="E52" s="4"/>
      <c r="F52" s="4">
        <v>150</v>
      </c>
      <c r="G52" s="4"/>
      <c r="H52" s="4">
        <v>0</v>
      </c>
      <c r="I52" s="4">
        <v>5</v>
      </c>
      <c r="J52" s="4"/>
      <c r="K52" s="4"/>
      <c r="L52" s="4"/>
      <c r="M52" s="4"/>
      <c r="N52" s="4" t="str">
        <f t="shared" ca="1" si="1"/>
        <v>7AP5</v>
      </c>
    </row>
    <row r="53" spans="1:14">
      <c r="A53" s="4" t="s">
        <v>411</v>
      </c>
      <c r="B53" s="4" t="s">
        <v>43</v>
      </c>
      <c r="C53" s="4">
        <v>30</v>
      </c>
      <c r="D53" s="4"/>
      <c r="E53" s="4"/>
      <c r="F53" s="4">
        <v>150</v>
      </c>
      <c r="G53" s="4"/>
      <c r="H53" s="4">
        <v>0</v>
      </c>
      <c r="I53" s="4">
        <v>5</v>
      </c>
      <c r="J53" s="4"/>
      <c r="K53" s="4"/>
      <c r="L53" s="4"/>
      <c r="M53" s="4"/>
      <c r="N53" s="4" t="str">
        <f t="shared" ca="1" si="1"/>
        <v>7AP5</v>
      </c>
    </row>
    <row r="54" spans="1:14">
      <c r="A54" s="4" t="s">
        <v>412</v>
      </c>
      <c r="B54" s="4" t="s">
        <v>43</v>
      </c>
      <c r="C54" s="4">
        <v>40</v>
      </c>
      <c r="D54" s="4"/>
      <c r="E54" s="4"/>
      <c r="F54" s="4">
        <v>150</v>
      </c>
      <c r="G54" s="4"/>
      <c r="H54" s="4">
        <v>0</v>
      </c>
      <c r="I54" s="4">
        <v>5</v>
      </c>
      <c r="J54" s="4"/>
      <c r="K54" s="4"/>
      <c r="L54" s="4"/>
      <c r="M54" s="4"/>
      <c r="N54" s="4" t="str">
        <f t="shared" ca="1" si="1"/>
        <v>7AP5</v>
      </c>
    </row>
    <row r="55" spans="1:14">
      <c r="A55" s="4" t="s">
        <v>413</v>
      </c>
      <c r="B55" s="4" t="s">
        <v>43</v>
      </c>
      <c r="C55" s="4">
        <v>100</v>
      </c>
      <c r="D55" s="4"/>
      <c r="E55" s="4"/>
      <c r="F55" s="4">
        <v>150</v>
      </c>
      <c r="G55" s="4"/>
      <c r="H55" s="4">
        <v>0</v>
      </c>
      <c r="I55" s="4">
        <v>5</v>
      </c>
      <c r="J55" s="4"/>
      <c r="K55" s="4"/>
      <c r="L55" s="4"/>
      <c r="M55" s="4"/>
      <c r="N55" s="4" t="str">
        <f t="shared" ca="1" si="1"/>
        <v>7AP5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3"/>
  <sheetViews>
    <sheetView topLeftCell="C25" zoomScaleNormal="100" workbookViewId="0">
      <selection activeCell="G47" sqref="G47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4" width="5.09765625" style="1" customWidth="1"/>
    <col min="5" max="5" width="4.59765625" style="1" customWidth="1"/>
    <col min="6" max="6" width="5.8984375" style="1" customWidth="1"/>
    <col min="7" max="7" width="10" style="1" customWidth="1"/>
    <col min="8" max="8" width="5.8984375" style="1" customWidth="1"/>
    <col min="9" max="9" width="3.296875" style="1" customWidth="1"/>
    <col min="10" max="10" width="8" style="1" customWidth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414</v>
      </c>
      <c r="B2" s="6" t="s">
        <v>27</v>
      </c>
      <c r="C2" s="6">
        <v>40</v>
      </c>
      <c r="D2" s="4">
        <v>1</v>
      </c>
      <c r="E2" s="4"/>
      <c r="F2" s="4">
        <v>250</v>
      </c>
      <c r="G2" s="5" t="s">
        <v>415</v>
      </c>
      <c r="H2" s="4">
        <v>1</v>
      </c>
      <c r="I2" s="4">
        <v>1</v>
      </c>
      <c r="J2" s="4">
        <f>MAX(I:I)</f>
        <v>4</v>
      </c>
      <c r="K2" s="4">
        <v>77</v>
      </c>
      <c r="L2" s="4">
        <v>57</v>
      </c>
      <c r="M2" s="4">
        <v>41</v>
      </c>
      <c r="N2" s="4" t="str">
        <f t="shared" ref="N2:N33" ca="1" si="0">_xlfn.CONCAT(_xlfn.SHEET(A1),B2)</f>
        <v>8AP1</v>
      </c>
    </row>
    <row r="3" spans="1:14">
      <c r="A3" s="5" t="s">
        <v>416</v>
      </c>
      <c r="B3" s="6" t="s">
        <v>27</v>
      </c>
      <c r="C3" s="6">
        <v>20</v>
      </c>
      <c r="D3" s="6">
        <v>1</v>
      </c>
      <c r="E3" s="6"/>
      <c r="F3" s="4">
        <v>250</v>
      </c>
      <c r="G3" s="4" t="s">
        <v>417</v>
      </c>
      <c r="H3" s="4">
        <v>1</v>
      </c>
      <c r="I3" s="4">
        <v>1</v>
      </c>
      <c r="J3" s="4" t="s">
        <v>418</v>
      </c>
      <c r="K3" s="4">
        <v>109</v>
      </c>
      <c r="L3" s="4">
        <v>107</v>
      </c>
      <c r="M3" s="4">
        <v>96</v>
      </c>
      <c r="N3" s="4" t="str">
        <f t="shared" ca="1" si="0"/>
        <v>8AP1</v>
      </c>
    </row>
    <row r="4" spans="1:14">
      <c r="A4" s="5" t="s">
        <v>419</v>
      </c>
      <c r="B4" s="6" t="s">
        <v>27</v>
      </c>
      <c r="C4" s="6">
        <v>10</v>
      </c>
      <c r="D4" s="6">
        <v>1</v>
      </c>
      <c r="E4" s="6"/>
      <c r="F4" s="4">
        <v>250</v>
      </c>
      <c r="G4" s="4" t="s">
        <v>420</v>
      </c>
      <c r="H4" s="4">
        <v>1</v>
      </c>
      <c r="I4" s="4">
        <v>1</v>
      </c>
      <c r="J4" s="4"/>
      <c r="K4" s="4">
        <v>237</v>
      </c>
      <c r="L4" s="4">
        <v>204</v>
      </c>
      <c r="M4" s="4">
        <v>202</v>
      </c>
      <c r="N4" s="4" t="str">
        <f t="shared" ca="1" si="0"/>
        <v>8AP1</v>
      </c>
    </row>
    <row r="5" spans="1:14">
      <c r="A5" s="4" t="s">
        <v>421</v>
      </c>
      <c r="B5" s="6" t="s">
        <v>27</v>
      </c>
      <c r="C5" s="4">
        <v>5</v>
      </c>
      <c r="D5" s="4">
        <v>1</v>
      </c>
      <c r="E5" s="4"/>
      <c r="F5" s="4">
        <v>250</v>
      </c>
      <c r="G5" s="4" t="s">
        <v>313</v>
      </c>
      <c r="H5" s="4">
        <v>1</v>
      </c>
      <c r="I5" s="4">
        <v>1</v>
      </c>
      <c r="J5" s="4"/>
      <c r="K5" s="4">
        <v>428</v>
      </c>
      <c r="L5" s="4"/>
      <c r="M5" s="4">
        <v>399</v>
      </c>
      <c r="N5" s="4" t="str">
        <f t="shared" ca="1" si="0"/>
        <v>8AP1</v>
      </c>
    </row>
    <row r="6" spans="1:14">
      <c r="A6" s="4" t="s">
        <v>422</v>
      </c>
      <c r="B6" s="6" t="s">
        <v>27</v>
      </c>
      <c r="C6" s="4">
        <v>30</v>
      </c>
      <c r="D6" s="4">
        <v>1</v>
      </c>
      <c r="E6" s="4"/>
      <c r="F6" s="4">
        <v>250</v>
      </c>
      <c r="G6" s="4"/>
      <c r="H6" s="4">
        <v>1</v>
      </c>
      <c r="I6" s="4">
        <v>1</v>
      </c>
      <c r="J6" s="4"/>
      <c r="K6" s="4">
        <v>77</v>
      </c>
      <c r="L6" s="4"/>
      <c r="M6" s="4">
        <v>50</v>
      </c>
      <c r="N6" s="4" t="str">
        <f t="shared" ca="1" si="0"/>
        <v>8AP1</v>
      </c>
    </row>
    <row r="7" spans="1:14">
      <c r="A7" s="4" t="s">
        <v>423</v>
      </c>
      <c r="B7" s="6" t="s">
        <v>27</v>
      </c>
      <c r="C7" s="4">
        <v>40</v>
      </c>
      <c r="D7" s="4">
        <v>1</v>
      </c>
      <c r="E7" s="4"/>
      <c r="F7" s="4">
        <v>250</v>
      </c>
      <c r="G7" s="4"/>
      <c r="H7" s="4">
        <v>2</v>
      </c>
      <c r="I7" s="4">
        <v>1</v>
      </c>
      <c r="J7" s="4"/>
      <c r="K7" s="4">
        <v>77</v>
      </c>
      <c r="L7" s="4"/>
      <c r="M7" s="4">
        <v>49</v>
      </c>
      <c r="N7" s="4" t="str">
        <f t="shared" ca="1" si="0"/>
        <v>8AP1</v>
      </c>
    </row>
    <row r="8" spans="1:14">
      <c r="A8" s="4" t="s">
        <v>424</v>
      </c>
      <c r="B8" s="6" t="s">
        <v>27</v>
      </c>
      <c r="C8" s="4">
        <v>100</v>
      </c>
      <c r="D8" s="4">
        <v>1</v>
      </c>
      <c r="E8" s="4"/>
      <c r="F8" s="4">
        <v>250</v>
      </c>
      <c r="G8" s="4" t="s">
        <v>425</v>
      </c>
      <c r="H8" s="4">
        <v>0</v>
      </c>
      <c r="I8" s="4">
        <v>1</v>
      </c>
      <c r="J8" s="4"/>
      <c r="K8" s="4">
        <v>45</v>
      </c>
      <c r="L8" s="4"/>
      <c r="M8" s="4">
        <v>19</v>
      </c>
      <c r="N8" s="4" t="str">
        <f t="shared" ca="1" si="0"/>
        <v>8AP1</v>
      </c>
    </row>
    <row r="9" spans="1:14">
      <c r="A9" s="4" t="s">
        <v>426</v>
      </c>
      <c r="B9" s="6" t="s">
        <v>27</v>
      </c>
      <c r="C9" s="4">
        <v>70</v>
      </c>
      <c r="D9" s="4">
        <v>1</v>
      </c>
      <c r="E9" s="4"/>
      <c r="F9" s="4">
        <v>250</v>
      </c>
      <c r="G9" s="4" t="s">
        <v>386</v>
      </c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8AP1</v>
      </c>
    </row>
    <row r="10" spans="1:14">
      <c r="A10" s="4" t="s">
        <v>427</v>
      </c>
      <c r="B10" s="6" t="s">
        <v>27</v>
      </c>
      <c r="C10" s="4">
        <v>2</v>
      </c>
      <c r="D10" s="4">
        <v>1</v>
      </c>
      <c r="E10" s="4"/>
      <c r="F10" s="4">
        <v>250</v>
      </c>
      <c r="G10" s="4"/>
      <c r="H10" s="4">
        <v>0</v>
      </c>
      <c r="I10" s="4">
        <v>1</v>
      </c>
      <c r="J10" s="4"/>
      <c r="K10" s="4">
        <v>1036</v>
      </c>
      <c r="L10" s="4"/>
      <c r="M10" s="4">
        <v>972</v>
      </c>
      <c r="N10" s="4" t="str">
        <f t="shared" ca="1" si="0"/>
        <v>8AP1</v>
      </c>
    </row>
    <row r="11" spans="1:14">
      <c r="A11" s="4" t="s">
        <v>428</v>
      </c>
      <c r="B11" s="6" t="s">
        <v>27</v>
      </c>
      <c r="C11" s="4">
        <v>5</v>
      </c>
      <c r="D11" s="4"/>
      <c r="E11" s="4"/>
      <c r="F11" s="4">
        <v>250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8AP1</v>
      </c>
    </row>
    <row r="12" spans="1:14">
      <c r="A12" s="4" t="s">
        <v>429</v>
      </c>
      <c r="B12" s="6" t="s">
        <v>27</v>
      </c>
      <c r="C12" s="4">
        <v>10</v>
      </c>
      <c r="D12" s="4"/>
      <c r="E12" s="4"/>
      <c r="F12" s="4">
        <v>250</v>
      </c>
      <c r="G12" s="4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8AP1</v>
      </c>
    </row>
    <row r="13" spans="1:14">
      <c r="A13" s="4" t="s">
        <v>430</v>
      </c>
      <c r="B13" s="6" t="s">
        <v>27</v>
      </c>
      <c r="C13" s="4">
        <v>20</v>
      </c>
      <c r="D13" s="4"/>
      <c r="E13" s="4"/>
      <c r="F13" s="4">
        <v>250</v>
      </c>
      <c r="G13" s="4"/>
      <c r="H13" s="4">
        <v>0</v>
      </c>
      <c r="I13" s="4">
        <v>1</v>
      </c>
      <c r="J13" s="4"/>
      <c r="K13" s="4">
        <v>-1</v>
      </c>
      <c r="L13" s="4">
        <v>-1</v>
      </c>
      <c r="M13" s="4">
        <v>-1</v>
      </c>
      <c r="N13" s="4" t="str">
        <f t="shared" ca="1" si="0"/>
        <v>8AP1</v>
      </c>
    </row>
    <row r="14" spans="1:14">
      <c r="A14" s="4" t="s">
        <v>431</v>
      </c>
      <c r="B14" s="6" t="s">
        <v>27</v>
      </c>
      <c r="C14" s="4">
        <v>30</v>
      </c>
      <c r="D14" s="4"/>
      <c r="E14" s="4"/>
      <c r="F14" s="4">
        <v>250</v>
      </c>
      <c r="G14" s="4"/>
      <c r="H14" s="4">
        <v>0</v>
      </c>
      <c r="I14" s="4">
        <v>1</v>
      </c>
      <c r="J14" s="4"/>
      <c r="K14" s="4">
        <v>-1</v>
      </c>
      <c r="L14" s="4">
        <v>-1</v>
      </c>
      <c r="M14" s="4">
        <v>-1</v>
      </c>
      <c r="N14" s="4" t="str">
        <f t="shared" ca="1" si="0"/>
        <v>8AP1</v>
      </c>
    </row>
    <row r="15" spans="1:14">
      <c r="A15" s="4" t="s">
        <v>432</v>
      </c>
      <c r="B15" s="6" t="s">
        <v>27</v>
      </c>
      <c r="C15" s="4">
        <v>40</v>
      </c>
      <c r="D15" s="4"/>
      <c r="E15" s="4"/>
      <c r="F15" s="4">
        <v>250</v>
      </c>
      <c r="G15" s="4"/>
      <c r="H15" s="4">
        <v>0</v>
      </c>
      <c r="I15" s="4">
        <v>1</v>
      </c>
      <c r="J15" s="4"/>
      <c r="K15" s="4">
        <v>-1</v>
      </c>
      <c r="L15" s="4">
        <v>-1</v>
      </c>
      <c r="M15" s="4">
        <v>-1</v>
      </c>
      <c r="N15" s="4" t="str">
        <f t="shared" ca="1" si="0"/>
        <v>8AP1</v>
      </c>
    </row>
    <row r="16" spans="1:14">
      <c r="A16" s="4" t="s">
        <v>433</v>
      </c>
      <c r="B16" s="6" t="s">
        <v>27</v>
      </c>
      <c r="C16" s="4">
        <v>70</v>
      </c>
      <c r="D16" s="4"/>
      <c r="E16" s="4"/>
      <c r="F16" s="4">
        <v>250</v>
      </c>
      <c r="G16" s="4"/>
      <c r="H16" s="4">
        <v>0</v>
      </c>
      <c r="I16" s="4">
        <v>1</v>
      </c>
      <c r="J16" s="4"/>
      <c r="K16" s="4">
        <v>-1</v>
      </c>
      <c r="L16" s="4">
        <v>-1</v>
      </c>
      <c r="M16" s="4">
        <v>-1</v>
      </c>
      <c r="N16" s="4" t="str">
        <f t="shared" ca="1" si="0"/>
        <v>8AP1</v>
      </c>
    </row>
    <row r="17" spans="1:14">
      <c r="A17" s="3" t="s">
        <v>434</v>
      </c>
      <c r="B17" s="6" t="s">
        <v>27</v>
      </c>
      <c r="C17" s="3">
        <v>100</v>
      </c>
      <c r="D17" s="4"/>
      <c r="E17" s="4"/>
      <c r="F17" s="4">
        <v>250</v>
      </c>
      <c r="G17" s="3" t="s">
        <v>435</v>
      </c>
      <c r="H17" s="4">
        <v>0</v>
      </c>
      <c r="I17" s="4">
        <v>1</v>
      </c>
      <c r="J17" s="4"/>
      <c r="K17" s="4">
        <v>-1</v>
      </c>
      <c r="L17" s="4">
        <v>-1</v>
      </c>
      <c r="M17" s="4">
        <v>-1</v>
      </c>
      <c r="N17" s="4" t="str">
        <f t="shared" ca="1" si="0"/>
        <v>8AP1</v>
      </c>
    </row>
    <row r="18" spans="1:14">
      <c r="A18" s="7" t="s">
        <v>436</v>
      </c>
      <c r="B18" s="8" t="s">
        <v>17</v>
      </c>
      <c r="C18" s="7">
        <v>10</v>
      </c>
      <c r="D18" s="8">
        <v>0</v>
      </c>
      <c r="E18" s="8"/>
      <c r="F18" s="8">
        <v>75</v>
      </c>
      <c r="G18" s="7" t="s">
        <v>437</v>
      </c>
      <c r="H18" s="8">
        <v>1</v>
      </c>
      <c r="I18" s="8">
        <v>2</v>
      </c>
      <c r="J18" s="8" t="s">
        <v>438</v>
      </c>
      <c r="K18" s="8">
        <v>237</v>
      </c>
      <c r="L18" s="8"/>
      <c r="M18" s="8">
        <v>9999</v>
      </c>
      <c r="N18" s="4" t="str">
        <f t="shared" ca="1" si="0"/>
        <v>8AP2</v>
      </c>
    </row>
    <row r="19" spans="1:14" s="17" customFormat="1">
      <c r="A19" s="16" t="s">
        <v>439</v>
      </c>
      <c r="B19" s="17" t="s">
        <v>17</v>
      </c>
      <c r="C19" s="16">
        <v>5</v>
      </c>
      <c r="D19" s="17">
        <v>0</v>
      </c>
      <c r="F19" s="17">
        <v>75</v>
      </c>
      <c r="G19" s="16" t="s">
        <v>440</v>
      </c>
      <c r="H19" s="17">
        <v>1</v>
      </c>
      <c r="I19" s="17">
        <v>2</v>
      </c>
      <c r="K19" s="17">
        <v>428</v>
      </c>
      <c r="M19" s="17">
        <v>9999</v>
      </c>
      <c r="N19" s="4" t="str">
        <f t="shared" ca="1" si="0"/>
        <v>8AP2</v>
      </c>
    </row>
    <row r="20" spans="1:14">
      <c r="A20" s="7" t="s">
        <v>441</v>
      </c>
      <c r="B20" s="8" t="s">
        <v>17</v>
      </c>
      <c r="C20" s="7">
        <v>40</v>
      </c>
      <c r="D20" s="8">
        <v>0</v>
      </c>
      <c r="E20" s="8"/>
      <c r="F20" s="8">
        <v>75</v>
      </c>
      <c r="G20" s="8" t="s">
        <v>442</v>
      </c>
      <c r="H20" s="8">
        <v>1</v>
      </c>
      <c r="I20" s="8">
        <v>2</v>
      </c>
      <c r="J20" s="8"/>
      <c r="K20" s="8">
        <v>77</v>
      </c>
      <c r="L20" s="8"/>
      <c r="M20" s="8">
        <v>62</v>
      </c>
      <c r="N20" s="4" t="str">
        <f t="shared" ca="1" si="0"/>
        <v>8AP2</v>
      </c>
    </row>
    <row r="21" spans="1:14">
      <c r="A21" s="7" t="s">
        <v>443</v>
      </c>
      <c r="B21" s="8" t="s">
        <v>17</v>
      </c>
      <c r="C21" s="7">
        <v>20</v>
      </c>
      <c r="D21" s="8">
        <v>0</v>
      </c>
      <c r="E21" s="8"/>
      <c r="F21" s="8">
        <v>75</v>
      </c>
      <c r="G21" s="7" t="s">
        <v>444</v>
      </c>
      <c r="H21" s="8">
        <v>1</v>
      </c>
      <c r="I21" s="8">
        <v>2</v>
      </c>
      <c r="J21" s="8"/>
      <c r="K21" s="8">
        <v>109</v>
      </c>
      <c r="L21" s="8"/>
      <c r="M21" s="8">
        <v>110</v>
      </c>
      <c r="N21" s="4" t="str">
        <f t="shared" ca="1" si="0"/>
        <v>8AP2</v>
      </c>
    </row>
    <row r="22" spans="1:14">
      <c r="A22" s="7" t="s">
        <v>445</v>
      </c>
      <c r="B22" s="8" t="s">
        <v>17</v>
      </c>
      <c r="C22" s="7">
        <v>30</v>
      </c>
      <c r="D22" s="8">
        <v>0</v>
      </c>
      <c r="E22" s="8"/>
      <c r="F22" s="8">
        <v>75</v>
      </c>
      <c r="G22" s="7" t="s">
        <v>444</v>
      </c>
      <c r="H22" s="8">
        <v>1</v>
      </c>
      <c r="I22" s="8">
        <v>2</v>
      </c>
      <c r="J22" s="8"/>
      <c r="K22" s="8">
        <v>77</v>
      </c>
      <c r="L22" s="8"/>
      <c r="M22" s="8">
        <v>85</v>
      </c>
      <c r="N22" s="4" t="str">
        <f t="shared" ca="1" si="0"/>
        <v>8AP2</v>
      </c>
    </row>
    <row r="23" spans="1:14">
      <c r="A23" s="7" t="s">
        <v>446</v>
      </c>
      <c r="B23" s="8" t="s">
        <v>17</v>
      </c>
      <c r="C23" s="7">
        <v>10</v>
      </c>
      <c r="D23" s="8">
        <v>0</v>
      </c>
      <c r="E23" s="8"/>
      <c r="F23" s="8">
        <v>75</v>
      </c>
      <c r="G23" s="7"/>
      <c r="H23" s="8">
        <v>2</v>
      </c>
      <c r="I23" s="8">
        <v>2</v>
      </c>
      <c r="J23" s="8"/>
      <c r="K23" s="8">
        <v>236</v>
      </c>
      <c r="L23" s="8"/>
      <c r="M23" s="8">
        <v>9999</v>
      </c>
      <c r="N23" s="4" t="str">
        <f t="shared" ca="1" si="0"/>
        <v>8AP2</v>
      </c>
    </row>
    <row r="24" spans="1:14">
      <c r="A24" s="7" t="s">
        <v>447</v>
      </c>
      <c r="B24" s="8" t="s">
        <v>17</v>
      </c>
      <c r="C24" s="7">
        <v>5</v>
      </c>
      <c r="D24" s="8"/>
      <c r="E24" s="8"/>
      <c r="F24" s="8">
        <v>75</v>
      </c>
      <c r="G24" s="7"/>
      <c r="H24" s="8">
        <v>0</v>
      </c>
      <c r="I24" s="8">
        <v>2</v>
      </c>
      <c r="J24" s="8"/>
      <c r="K24" s="8">
        <v>-1</v>
      </c>
      <c r="L24" s="8">
        <v>-1</v>
      </c>
      <c r="M24" s="8">
        <v>-1</v>
      </c>
      <c r="N24" s="4" t="str">
        <f t="shared" ca="1" si="0"/>
        <v>8AP2</v>
      </c>
    </row>
    <row r="25" spans="1:14">
      <c r="A25" s="8" t="s">
        <v>448</v>
      </c>
      <c r="B25" s="8" t="s">
        <v>17</v>
      </c>
      <c r="C25" s="8">
        <v>10</v>
      </c>
      <c r="D25" s="8"/>
      <c r="E25" s="8"/>
      <c r="F25" s="8">
        <v>75</v>
      </c>
      <c r="G25" s="8"/>
      <c r="H25" s="8">
        <v>0</v>
      </c>
      <c r="I25" s="8">
        <v>2</v>
      </c>
      <c r="J25" s="8"/>
      <c r="K25" s="8">
        <v>-1</v>
      </c>
      <c r="L25" s="8">
        <v>-1</v>
      </c>
      <c r="M25" s="8">
        <v>-1</v>
      </c>
      <c r="N25" s="4" t="str">
        <f t="shared" ca="1" si="0"/>
        <v>8AP2</v>
      </c>
    </row>
    <row r="26" spans="1:14">
      <c r="A26" s="8" t="s">
        <v>449</v>
      </c>
      <c r="B26" s="8" t="s">
        <v>17</v>
      </c>
      <c r="C26" s="8">
        <v>20</v>
      </c>
      <c r="D26" s="8"/>
      <c r="E26" s="8"/>
      <c r="F26" s="8">
        <v>75</v>
      </c>
      <c r="G26" s="8"/>
      <c r="H26" s="8">
        <v>0</v>
      </c>
      <c r="I26" s="8">
        <v>2</v>
      </c>
      <c r="J26" s="8"/>
      <c r="K26" s="8">
        <v>-1</v>
      </c>
      <c r="L26" s="8">
        <v>-1</v>
      </c>
      <c r="M26" s="8">
        <v>-1</v>
      </c>
      <c r="N26" s="4" t="str">
        <f t="shared" ca="1" si="0"/>
        <v>8AP2</v>
      </c>
    </row>
    <row r="27" spans="1:14">
      <c r="A27" s="8" t="s">
        <v>450</v>
      </c>
      <c r="B27" s="8" t="s">
        <v>17</v>
      </c>
      <c r="C27" s="8">
        <v>30</v>
      </c>
      <c r="D27" s="8"/>
      <c r="E27" s="8"/>
      <c r="F27" s="8">
        <v>75</v>
      </c>
      <c r="G27" s="8"/>
      <c r="H27" s="8">
        <v>0</v>
      </c>
      <c r="I27" s="8">
        <v>2</v>
      </c>
      <c r="J27" s="8"/>
      <c r="K27" s="8">
        <v>-1</v>
      </c>
      <c r="L27" s="8">
        <v>-1</v>
      </c>
      <c r="M27" s="8">
        <v>-1</v>
      </c>
      <c r="N27" s="4" t="str">
        <f t="shared" ca="1" si="0"/>
        <v>8AP2</v>
      </c>
    </row>
    <row r="28" spans="1:14">
      <c r="A28" s="8" t="s">
        <v>451</v>
      </c>
      <c r="B28" s="8" t="s">
        <v>17</v>
      </c>
      <c r="C28" s="8">
        <v>40</v>
      </c>
      <c r="D28" s="8"/>
      <c r="E28" s="8"/>
      <c r="F28" s="8">
        <v>75</v>
      </c>
      <c r="G28" s="8"/>
      <c r="H28" s="8"/>
      <c r="I28" s="8"/>
      <c r="J28" s="8"/>
      <c r="K28" s="8">
        <v>-1</v>
      </c>
      <c r="L28" s="8">
        <v>-1</v>
      </c>
      <c r="M28" s="8">
        <v>-1</v>
      </c>
      <c r="N28" s="4" t="str">
        <f t="shared" ca="1" si="0"/>
        <v>8AP2</v>
      </c>
    </row>
    <row r="29" spans="1:14">
      <c r="A29" s="8" t="s">
        <v>452</v>
      </c>
      <c r="B29" s="8" t="s">
        <v>17</v>
      </c>
      <c r="C29" s="8">
        <v>100</v>
      </c>
      <c r="D29" s="8"/>
      <c r="E29" s="8"/>
      <c r="F29" s="8">
        <v>75</v>
      </c>
      <c r="G29" s="8"/>
      <c r="H29" s="8">
        <v>0</v>
      </c>
      <c r="I29" s="8">
        <v>2</v>
      </c>
      <c r="J29" s="8"/>
      <c r="K29" s="8">
        <v>-1</v>
      </c>
      <c r="L29" s="8">
        <v>-1</v>
      </c>
      <c r="M29" s="8">
        <v>-1</v>
      </c>
      <c r="N29" s="4" t="str">
        <f t="shared" ca="1" si="0"/>
        <v>8AP2</v>
      </c>
    </row>
    <row r="30" spans="1:14">
      <c r="A30" s="4" t="s">
        <v>453</v>
      </c>
      <c r="B30" s="3" t="s">
        <v>39</v>
      </c>
      <c r="C30" s="4">
        <v>20</v>
      </c>
      <c r="D30" s="4">
        <v>1</v>
      </c>
      <c r="E30" s="4"/>
      <c r="F30" s="3">
        <v>150</v>
      </c>
      <c r="G30" s="4" t="s">
        <v>454</v>
      </c>
      <c r="H30" s="4">
        <v>1</v>
      </c>
      <c r="I30" s="4">
        <v>3</v>
      </c>
      <c r="J30" s="4"/>
      <c r="K30" s="4">
        <v>109</v>
      </c>
      <c r="L30" s="4"/>
      <c r="M30" s="4">
        <v>98</v>
      </c>
      <c r="N30" s="4" t="str">
        <f t="shared" ca="1" si="0"/>
        <v>8AP3</v>
      </c>
    </row>
    <row r="31" spans="1:14">
      <c r="A31" s="4" t="s">
        <v>455</v>
      </c>
      <c r="B31" s="3" t="s">
        <v>39</v>
      </c>
      <c r="C31" s="4">
        <v>5</v>
      </c>
      <c r="D31" s="4">
        <v>0</v>
      </c>
      <c r="E31" s="4"/>
      <c r="F31" s="3">
        <v>150</v>
      </c>
      <c r="G31" s="4" t="s">
        <v>456</v>
      </c>
      <c r="H31" s="4">
        <v>1</v>
      </c>
      <c r="I31" s="4">
        <v>3</v>
      </c>
      <c r="J31" s="4"/>
      <c r="K31" s="4">
        <v>428</v>
      </c>
      <c r="L31" s="4"/>
      <c r="M31" s="4">
        <v>424</v>
      </c>
      <c r="N31" s="4" t="str">
        <f t="shared" ca="1" si="0"/>
        <v>8AP3</v>
      </c>
    </row>
    <row r="32" spans="1:14">
      <c r="A32" s="4" t="s">
        <v>457</v>
      </c>
      <c r="B32" s="3" t="s">
        <v>39</v>
      </c>
      <c r="C32" s="4">
        <v>10</v>
      </c>
      <c r="D32" s="4">
        <v>0</v>
      </c>
      <c r="E32" s="4">
        <v>0</v>
      </c>
      <c r="F32" s="3">
        <v>150</v>
      </c>
      <c r="G32" s="4"/>
      <c r="H32" s="4">
        <v>1</v>
      </c>
      <c r="I32" s="4">
        <v>3</v>
      </c>
      <c r="J32" s="4"/>
      <c r="K32" s="4">
        <v>237</v>
      </c>
      <c r="L32" s="4"/>
      <c r="M32" s="4">
        <v>9999</v>
      </c>
      <c r="N32" s="4" t="str">
        <f t="shared" ca="1" si="0"/>
        <v>8AP3</v>
      </c>
    </row>
    <row r="33" spans="1:14">
      <c r="A33" s="4" t="s">
        <v>458</v>
      </c>
      <c r="B33" s="3" t="s">
        <v>39</v>
      </c>
      <c r="C33" s="4">
        <v>40</v>
      </c>
      <c r="D33" s="4">
        <v>1</v>
      </c>
      <c r="E33" s="4"/>
      <c r="F33" s="3">
        <v>150</v>
      </c>
      <c r="G33" s="4" t="s">
        <v>459</v>
      </c>
      <c r="H33" s="4">
        <v>1</v>
      </c>
      <c r="I33" s="4">
        <v>3</v>
      </c>
      <c r="J33" s="4"/>
      <c r="K33" s="4">
        <v>77</v>
      </c>
      <c r="L33" s="4"/>
      <c r="M33" s="4">
        <v>52</v>
      </c>
      <c r="N33" s="4" t="str">
        <f t="shared" ca="1" si="0"/>
        <v>8AP3</v>
      </c>
    </row>
    <row r="34" spans="1:14">
      <c r="A34" s="4" t="s">
        <v>460</v>
      </c>
      <c r="B34" s="3" t="s">
        <v>39</v>
      </c>
      <c r="C34" s="4">
        <v>30</v>
      </c>
      <c r="D34" s="4">
        <v>1</v>
      </c>
      <c r="E34" s="4"/>
      <c r="F34" s="3">
        <v>150</v>
      </c>
      <c r="G34" s="9"/>
      <c r="H34" s="4">
        <v>1</v>
      </c>
      <c r="I34" s="4">
        <v>3</v>
      </c>
      <c r="J34" s="4"/>
      <c r="K34" s="4">
        <v>77</v>
      </c>
      <c r="L34" s="4"/>
      <c r="M34" s="4">
        <v>63</v>
      </c>
      <c r="N34" s="4" t="str">
        <f t="shared" ref="N34:N53" ca="1" si="1">_xlfn.CONCAT(_xlfn.SHEET(A33),B34)</f>
        <v>8AP3</v>
      </c>
    </row>
    <row r="35" spans="1:14">
      <c r="A35" s="4" t="s">
        <v>461</v>
      </c>
      <c r="B35" s="3" t="s">
        <v>39</v>
      </c>
      <c r="C35" s="4">
        <v>20</v>
      </c>
      <c r="D35" s="4">
        <v>1</v>
      </c>
      <c r="E35" s="4"/>
      <c r="F35" s="3">
        <v>150</v>
      </c>
      <c r="G35" s="4"/>
      <c r="H35" s="4">
        <v>2</v>
      </c>
      <c r="I35" s="4">
        <v>3</v>
      </c>
      <c r="J35" s="4"/>
      <c r="K35" s="4">
        <v>109</v>
      </c>
      <c r="L35" s="4"/>
      <c r="M35" s="4">
        <v>97</v>
      </c>
      <c r="N35" s="4" t="str">
        <f t="shared" ca="1" si="1"/>
        <v>8AP3</v>
      </c>
    </row>
    <row r="36" spans="1:14">
      <c r="A36" s="4" t="s">
        <v>462</v>
      </c>
      <c r="B36" s="3" t="s">
        <v>39</v>
      </c>
      <c r="C36" s="4">
        <v>5</v>
      </c>
      <c r="D36" s="4"/>
      <c r="E36" s="4"/>
      <c r="F36" s="3">
        <v>150</v>
      </c>
      <c r="G36" s="4"/>
      <c r="H36" s="4">
        <v>0</v>
      </c>
      <c r="I36" s="4">
        <v>3</v>
      </c>
      <c r="J36" s="4"/>
      <c r="K36" s="4">
        <v>-1</v>
      </c>
      <c r="L36" s="4">
        <v>-1</v>
      </c>
      <c r="M36" s="4">
        <v>-1</v>
      </c>
      <c r="N36" s="4" t="str">
        <f t="shared" ca="1" si="1"/>
        <v>8AP3</v>
      </c>
    </row>
    <row r="37" spans="1:14">
      <c r="A37" s="4" t="s">
        <v>463</v>
      </c>
      <c r="B37" s="3" t="s">
        <v>39</v>
      </c>
      <c r="C37" s="4">
        <v>10</v>
      </c>
      <c r="D37" s="4"/>
      <c r="E37" s="4"/>
      <c r="F37" s="3">
        <v>150</v>
      </c>
      <c r="G37" s="4"/>
      <c r="H37" s="4">
        <v>0</v>
      </c>
      <c r="I37" s="4">
        <v>3</v>
      </c>
      <c r="J37" s="4"/>
      <c r="K37" s="4">
        <v>-1</v>
      </c>
      <c r="L37" s="4">
        <v>-1</v>
      </c>
      <c r="M37" s="4">
        <v>-1</v>
      </c>
      <c r="N37" s="4" t="str">
        <f t="shared" ca="1" si="1"/>
        <v>8AP3</v>
      </c>
    </row>
    <row r="38" spans="1:14">
      <c r="A38" s="4" t="s">
        <v>464</v>
      </c>
      <c r="B38" s="3" t="s">
        <v>39</v>
      </c>
      <c r="C38" s="4">
        <v>20</v>
      </c>
      <c r="D38" s="4"/>
      <c r="E38" s="4"/>
      <c r="F38" s="3">
        <v>150</v>
      </c>
      <c r="G38" s="4"/>
      <c r="H38" s="4">
        <v>0</v>
      </c>
      <c r="I38" s="4">
        <v>3</v>
      </c>
      <c r="J38" s="4"/>
      <c r="K38" s="4">
        <v>-1</v>
      </c>
      <c r="L38" s="4">
        <v>-1</v>
      </c>
      <c r="M38" s="4">
        <v>-1</v>
      </c>
      <c r="N38" s="4" t="str">
        <f t="shared" ca="1" si="1"/>
        <v>8AP3</v>
      </c>
    </row>
    <row r="39" spans="1:14">
      <c r="A39" s="4" t="s">
        <v>465</v>
      </c>
      <c r="B39" s="3" t="s">
        <v>39</v>
      </c>
      <c r="C39" s="4">
        <v>30</v>
      </c>
      <c r="D39" s="4"/>
      <c r="E39" s="4"/>
      <c r="F39" s="3">
        <v>150</v>
      </c>
      <c r="G39" s="4"/>
      <c r="H39" s="4">
        <v>0</v>
      </c>
      <c r="I39" s="4">
        <v>3</v>
      </c>
      <c r="J39" s="4"/>
      <c r="K39" s="4">
        <v>-1</v>
      </c>
      <c r="L39" s="4">
        <v>-1</v>
      </c>
      <c r="M39" s="4">
        <v>-1</v>
      </c>
      <c r="N39" s="4" t="str">
        <f t="shared" ca="1" si="1"/>
        <v>8AP3</v>
      </c>
    </row>
    <row r="40" spans="1:14">
      <c r="A40" s="4" t="s">
        <v>466</v>
      </c>
      <c r="B40" s="3" t="s">
        <v>39</v>
      </c>
      <c r="C40" s="4">
        <v>40</v>
      </c>
      <c r="D40" s="4"/>
      <c r="E40" s="4"/>
      <c r="F40" s="3">
        <v>150</v>
      </c>
      <c r="G40" s="4"/>
      <c r="H40" s="4">
        <v>0</v>
      </c>
      <c r="I40" s="4">
        <v>3</v>
      </c>
      <c r="J40" s="4"/>
      <c r="K40" s="4">
        <v>-1</v>
      </c>
      <c r="L40" s="4">
        <v>-1</v>
      </c>
      <c r="M40" s="4">
        <v>-1</v>
      </c>
      <c r="N40" s="4" t="str">
        <f t="shared" ca="1" si="1"/>
        <v>8AP3</v>
      </c>
    </row>
    <row r="41" spans="1:14">
      <c r="A41" s="8" t="s">
        <v>467</v>
      </c>
      <c r="B41" s="8" t="s">
        <v>41</v>
      </c>
      <c r="C41" s="8">
        <v>20</v>
      </c>
      <c r="D41" s="8">
        <v>0</v>
      </c>
      <c r="E41" s="8"/>
      <c r="F41" s="8">
        <v>150</v>
      </c>
      <c r="G41" s="8" t="s">
        <v>468</v>
      </c>
      <c r="H41" s="8">
        <v>1</v>
      </c>
      <c r="I41" s="8">
        <v>4</v>
      </c>
      <c r="J41" s="8"/>
      <c r="K41" s="8">
        <v>109</v>
      </c>
      <c r="L41" s="8"/>
      <c r="M41" s="8">
        <v>9999</v>
      </c>
      <c r="N41" s="4" t="str">
        <f t="shared" ca="1" si="1"/>
        <v>8AP4</v>
      </c>
    </row>
    <row r="42" spans="1:14">
      <c r="A42" s="8" t="s">
        <v>469</v>
      </c>
      <c r="B42" s="8" t="s">
        <v>41</v>
      </c>
      <c r="C42" s="8">
        <v>10</v>
      </c>
      <c r="D42" s="8">
        <v>1</v>
      </c>
      <c r="E42" s="8"/>
      <c r="F42" s="8">
        <v>150</v>
      </c>
      <c r="G42" s="8" t="s">
        <v>470</v>
      </c>
      <c r="H42" s="8">
        <v>1</v>
      </c>
      <c r="I42" s="8">
        <v>4</v>
      </c>
      <c r="J42" s="8"/>
      <c r="K42" s="8">
        <v>236</v>
      </c>
      <c r="L42" s="8"/>
      <c r="M42" s="8">
        <v>207</v>
      </c>
      <c r="N42" s="4" t="str">
        <f t="shared" ca="1" si="1"/>
        <v>8AP4</v>
      </c>
    </row>
    <row r="43" spans="1:14">
      <c r="A43" s="8" t="s">
        <v>471</v>
      </c>
      <c r="B43" s="8" t="s">
        <v>41</v>
      </c>
      <c r="C43" s="8">
        <v>5</v>
      </c>
      <c r="D43" s="8">
        <v>0</v>
      </c>
      <c r="E43" s="8"/>
      <c r="F43" s="8">
        <v>150</v>
      </c>
      <c r="G43" s="8" t="s">
        <v>470</v>
      </c>
      <c r="H43" s="8">
        <v>1</v>
      </c>
      <c r="I43" s="8">
        <v>4</v>
      </c>
      <c r="J43" s="8"/>
      <c r="K43" s="8">
        <v>428</v>
      </c>
      <c r="L43" s="8"/>
      <c r="M43" s="8">
        <v>9999</v>
      </c>
      <c r="N43" s="4" t="str">
        <f t="shared" ca="1" si="1"/>
        <v>8AP4</v>
      </c>
    </row>
    <row r="44" spans="1:14">
      <c r="A44" s="8" t="s">
        <v>472</v>
      </c>
      <c r="B44" s="8" t="s">
        <v>41</v>
      </c>
      <c r="C44" s="8">
        <v>40</v>
      </c>
      <c r="D44" s="8">
        <v>1</v>
      </c>
      <c r="E44" s="8"/>
      <c r="F44" s="8">
        <v>150</v>
      </c>
      <c r="G44" s="8"/>
      <c r="H44" s="8">
        <v>1</v>
      </c>
      <c r="I44" s="8">
        <v>4</v>
      </c>
      <c r="J44" s="8"/>
      <c r="K44" s="8">
        <v>77</v>
      </c>
      <c r="L44" s="8"/>
      <c r="M44" s="8">
        <v>49</v>
      </c>
      <c r="N44" s="4" t="str">
        <f t="shared" ca="1" si="1"/>
        <v>8AP4</v>
      </c>
    </row>
    <row r="45" spans="1:14">
      <c r="A45" s="8" t="s">
        <v>473</v>
      </c>
      <c r="B45" s="8" t="s">
        <v>41</v>
      </c>
      <c r="C45" s="8">
        <v>30</v>
      </c>
      <c r="D45" s="8">
        <v>0</v>
      </c>
      <c r="E45" s="8">
        <v>0</v>
      </c>
      <c r="F45" s="8">
        <v>150</v>
      </c>
      <c r="G45" s="8"/>
      <c r="H45" s="8">
        <v>1</v>
      </c>
      <c r="I45" s="8">
        <v>4</v>
      </c>
      <c r="J45" s="8"/>
      <c r="K45" s="8">
        <v>77</v>
      </c>
      <c r="L45" s="8"/>
      <c r="M45" s="8">
        <v>9999</v>
      </c>
      <c r="N45" s="4" t="str">
        <f t="shared" ca="1" si="1"/>
        <v>8AP4</v>
      </c>
    </row>
    <row r="46" spans="1:14">
      <c r="A46" s="8" t="s">
        <v>474</v>
      </c>
      <c r="B46" s="8" t="s">
        <v>41</v>
      </c>
      <c r="C46" s="8">
        <v>20</v>
      </c>
      <c r="D46" s="8">
        <v>0</v>
      </c>
      <c r="E46" s="8">
        <v>0</v>
      </c>
      <c r="F46" s="8">
        <v>150</v>
      </c>
      <c r="G46" s="8"/>
      <c r="H46" s="8">
        <v>2</v>
      </c>
      <c r="I46" s="8">
        <v>4</v>
      </c>
      <c r="J46" s="8"/>
      <c r="K46" s="8">
        <v>109</v>
      </c>
      <c r="L46" s="8"/>
      <c r="M46" s="8">
        <v>9999</v>
      </c>
      <c r="N46" s="4" t="str">
        <f t="shared" ca="1" si="1"/>
        <v>8AP4</v>
      </c>
    </row>
    <row r="47" spans="1:14">
      <c r="A47" s="8" t="s">
        <v>475</v>
      </c>
      <c r="B47" s="8" t="s">
        <v>41</v>
      </c>
      <c r="C47" s="8">
        <v>40</v>
      </c>
      <c r="D47" s="8">
        <v>1</v>
      </c>
      <c r="E47" s="8"/>
      <c r="F47" s="8">
        <v>150</v>
      </c>
      <c r="G47" s="8" t="s">
        <v>476</v>
      </c>
      <c r="H47" s="8">
        <v>0</v>
      </c>
      <c r="I47" s="8">
        <v>4</v>
      </c>
      <c r="J47" s="8"/>
      <c r="K47" s="8">
        <v>77</v>
      </c>
      <c r="L47" s="8"/>
      <c r="M47" s="8">
        <v>55</v>
      </c>
      <c r="N47" s="4" t="str">
        <f t="shared" ca="1" si="1"/>
        <v>8AP4</v>
      </c>
    </row>
    <row r="48" spans="1:14">
      <c r="A48" s="8" t="s">
        <v>477</v>
      </c>
      <c r="B48" s="8" t="s">
        <v>41</v>
      </c>
      <c r="C48" s="8">
        <v>5</v>
      </c>
      <c r="D48" s="8"/>
      <c r="E48" s="8"/>
      <c r="F48" s="8">
        <v>150</v>
      </c>
      <c r="G48" s="8"/>
      <c r="H48" s="8">
        <v>0</v>
      </c>
      <c r="I48" s="8">
        <v>4</v>
      </c>
      <c r="J48" s="8"/>
      <c r="K48" s="8">
        <v>-1</v>
      </c>
      <c r="L48" s="8">
        <v>-1</v>
      </c>
      <c r="M48" s="8">
        <v>-1</v>
      </c>
      <c r="N48" s="4" t="str">
        <f t="shared" ca="1" si="1"/>
        <v>8AP4</v>
      </c>
    </row>
    <row r="49" spans="1:14">
      <c r="A49" s="8" t="s">
        <v>478</v>
      </c>
      <c r="B49" s="8" t="s">
        <v>41</v>
      </c>
      <c r="C49" s="8">
        <v>10</v>
      </c>
      <c r="D49" s="8"/>
      <c r="E49" s="8"/>
      <c r="F49" s="8">
        <v>150</v>
      </c>
      <c r="G49" s="8"/>
      <c r="H49" s="8">
        <v>0</v>
      </c>
      <c r="I49" s="8">
        <v>4</v>
      </c>
      <c r="J49" s="8"/>
      <c r="K49" s="8">
        <v>-1</v>
      </c>
      <c r="L49" s="8">
        <v>-1</v>
      </c>
      <c r="M49" s="8">
        <v>-1</v>
      </c>
      <c r="N49" s="4" t="str">
        <f t="shared" ca="1" si="1"/>
        <v>8AP4</v>
      </c>
    </row>
    <row r="50" spans="1:14">
      <c r="A50" s="8" t="s">
        <v>479</v>
      </c>
      <c r="B50" s="8" t="s">
        <v>41</v>
      </c>
      <c r="C50" s="8">
        <v>20</v>
      </c>
      <c r="D50" s="8"/>
      <c r="E50" s="8"/>
      <c r="F50" s="8">
        <v>150</v>
      </c>
      <c r="G50" s="8"/>
      <c r="H50" s="8">
        <v>0</v>
      </c>
      <c r="I50" s="8">
        <v>4</v>
      </c>
      <c r="J50" s="8"/>
      <c r="K50" s="8">
        <v>-1</v>
      </c>
      <c r="L50" s="8">
        <v>-1</v>
      </c>
      <c r="M50" s="8">
        <v>-1</v>
      </c>
      <c r="N50" s="4" t="str">
        <f t="shared" ca="1" si="1"/>
        <v>8AP4</v>
      </c>
    </row>
    <row r="51" spans="1:14">
      <c r="A51" s="8" t="s">
        <v>480</v>
      </c>
      <c r="B51" s="8" t="s">
        <v>41</v>
      </c>
      <c r="C51" s="8">
        <v>30</v>
      </c>
      <c r="D51" s="8"/>
      <c r="E51" s="8"/>
      <c r="F51" s="8">
        <v>150</v>
      </c>
      <c r="G51" s="8"/>
      <c r="H51" s="8">
        <v>0</v>
      </c>
      <c r="I51" s="8">
        <v>4</v>
      </c>
      <c r="J51" s="8"/>
      <c r="K51" s="8">
        <v>-1</v>
      </c>
      <c r="L51" s="8">
        <v>-1</v>
      </c>
      <c r="M51" s="8">
        <v>-1</v>
      </c>
      <c r="N51" s="4" t="str">
        <f t="shared" ca="1" si="1"/>
        <v>8AP4</v>
      </c>
    </row>
    <row r="52" spans="1:14">
      <c r="A52" s="8" t="s">
        <v>481</v>
      </c>
      <c r="B52" s="8" t="s">
        <v>41</v>
      </c>
      <c r="C52" s="8">
        <v>40</v>
      </c>
      <c r="D52" s="8"/>
      <c r="E52" s="8"/>
      <c r="F52" s="8">
        <v>150</v>
      </c>
      <c r="G52" s="8"/>
      <c r="H52" s="8">
        <v>0</v>
      </c>
      <c r="I52" s="8">
        <v>4</v>
      </c>
      <c r="J52" s="8"/>
      <c r="K52" s="8">
        <v>-1</v>
      </c>
      <c r="L52" s="8">
        <v>-1</v>
      </c>
      <c r="M52" s="8">
        <v>-1</v>
      </c>
      <c r="N52" s="4" t="str">
        <f t="shared" ca="1" si="1"/>
        <v>8AP4</v>
      </c>
    </row>
    <row r="53" spans="1:14">
      <c r="A53" s="8" t="s">
        <v>482</v>
      </c>
      <c r="B53" s="8" t="s">
        <v>41</v>
      </c>
      <c r="C53" s="8">
        <v>100</v>
      </c>
      <c r="D53" s="8"/>
      <c r="E53" s="8"/>
      <c r="F53" s="8">
        <v>150</v>
      </c>
      <c r="G53" s="8"/>
      <c r="H53" s="8">
        <v>0</v>
      </c>
      <c r="I53" s="8">
        <v>4</v>
      </c>
      <c r="J53" s="8"/>
      <c r="K53" s="8">
        <v>-1</v>
      </c>
      <c r="L53" s="8">
        <v>-1</v>
      </c>
      <c r="M53" s="8">
        <v>-1</v>
      </c>
      <c r="N53" s="4" t="str">
        <f t="shared" ca="1" si="1"/>
        <v>8AP4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"/>
  <sheetViews>
    <sheetView topLeftCell="G26"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4" width="5.09765625" style="1" customWidth="1"/>
    <col min="5" max="5" width="4.59765625" style="1" customWidth="1"/>
    <col min="6" max="6" width="4.69921875" style="1" customWidth="1"/>
    <col min="7" max="7" width="55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483</v>
      </c>
      <c r="B2" s="6" t="s">
        <v>24</v>
      </c>
      <c r="C2" s="6">
        <v>5</v>
      </c>
      <c r="D2" s="4">
        <v>1</v>
      </c>
      <c r="E2" s="4"/>
      <c r="F2" s="4">
        <v>250</v>
      </c>
      <c r="G2" s="5" t="s">
        <v>484</v>
      </c>
      <c r="H2" s="4">
        <v>1</v>
      </c>
      <c r="I2" s="4">
        <v>1</v>
      </c>
      <c r="J2" s="4">
        <f>MAX(I:I)</f>
        <v>4</v>
      </c>
      <c r="K2" s="4">
        <v>428</v>
      </c>
      <c r="L2" s="4">
        <v>403</v>
      </c>
      <c r="M2" s="4">
        <v>382</v>
      </c>
      <c r="N2" s="4" t="str">
        <f t="shared" ref="N2:N44" ca="1" si="0">_xlfn.CONCAT(_xlfn.SHEET(A1),B2)</f>
        <v>9M1</v>
      </c>
    </row>
    <row r="3" spans="1:14">
      <c r="A3" s="5" t="s">
        <v>485</v>
      </c>
      <c r="B3" s="6" t="s">
        <v>24</v>
      </c>
      <c r="C3" s="6">
        <v>20</v>
      </c>
      <c r="D3" s="6">
        <v>1</v>
      </c>
      <c r="E3" s="6"/>
      <c r="F3" s="4">
        <v>250</v>
      </c>
      <c r="G3" s="4"/>
      <c r="H3" s="4">
        <v>1</v>
      </c>
      <c r="I3" s="4">
        <v>1</v>
      </c>
      <c r="J3" s="4"/>
      <c r="K3" s="4">
        <v>109</v>
      </c>
      <c r="L3" s="4"/>
      <c r="M3" s="4">
        <v>87</v>
      </c>
      <c r="N3" s="4" t="str">
        <f t="shared" ca="1" si="0"/>
        <v>9M1</v>
      </c>
    </row>
    <row r="4" spans="1:14">
      <c r="A4" s="5" t="s">
        <v>486</v>
      </c>
      <c r="B4" s="6" t="s">
        <v>24</v>
      </c>
      <c r="C4" s="6">
        <v>10</v>
      </c>
      <c r="D4" s="6">
        <v>1</v>
      </c>
      <c r="E4" s="6"/>
      <c r="F4" s="4">
        <v>250</v>
      </c>
      <c r="G4" s="4" t="s">
        <v>487</v>
      </c>
      <c r="H4" s="4">
        <v>1</v>
      </c>
      <c r="I4" s="4">
        <v>1</v>
      </c>
      <c r="J4" s="4"/>
      <c r="K4" s="4">
        <v>237</v>
      </c>
      <c r="L4" s="4"/>
      <c r="M4" s="4">
        <v>207</v>
      </c>
      <c r="N4" s="4" t="str">
        <f t="shared" ca="1" si="0"/>
        <v>9M1</v>
      </c>
    </row>
    <row r="5" spans="1:14">
      <c r="A5" s="4" t="s">
        <v>488</v>
      </c>
      <c r="B5" s="6" t="s">
        <v>24</v>
      </c>
      <c r="C5" s="4">
        <v>40</v>
      </c>
      <c r="D5" s="4">
        <v>1</v>
      </c>
      <c r="E5" s="4"/>
      <c r="F5" s="4">
        <v>250</v>
      </c>
      <c r="G5" s="4" t="s">
        <v>489</v>
      </c>
      <c r="H5" s="4">
        <v>1</v>
      </c>
      <c r="I5" s="4">
        <v>1</v>
      </c>
      <c r="J5" s="4"/>
      <c r="K5" s="4">
        <v>77</v>
      </c>
      <c r="L5" s="4"/>
      <c r="M5" s="4">
        <v>51</v>
      </c>
      <c r="N5" s="4" t="str">
        <f t="shared" ca="1" si="0"/>
        <v>9M1</v>
      </c>
    </row>
    <row r="6" spans="1:14">
      <c r="A6" s="4" t="s">
        <v>490</v>
      </c>
      <c r="B6" s="6" t="str">
        <f>B5</f>
        <v>M1</v>
      </c>
      <c r="C6" s="4">
        <v>30</v>
      </c>
      <c r="D6" s="4">
        <v>1</v>
      </c>
      <c r="E6" s="4"/>
      <c r="F6" s="4">
        <v>250</v>
      </c>
      <c r="G6" s="4"/>
      <c r="H6" s="4">
        <v>1</v>
      </c>
      <c r="I6" s="4">
        <v>1</v>
      </c>
      <c r="J6" s="4"/>
      <c r="K6" s="4">
        <v>77</v>
      </c>
      <c r="L6" s="4"/>
      <c r="M6" s="4">
        <v>61</v>
      </c>
      <c r="N6" s="4" t="str">
        <f t="shared" ca="1" si="0"/>
        <v>9M1</v>
      </c>
    </row>
    <row r="7" spans="1:14">
      <c r="A7" s="4" t="s">
        <v>491</v>
      </c>
      <c r="B7" s="6" t="str">
        <f>B6</f>
        <v>M1</v>
      </c>
      <c r="C7" s="4">
        <v>5</v>
      </c>
      <c r="D7" s="4">
        <v>1</v>
      </c>
      <c r="E7" s="4"/>
      <c r="F7" s="4">
        <v>250</v>
      </c>
      <c r="G7" s="4" t="s">
        <v>492</v>
      </c>
      <c r="H7" s="4">
        <v>2</v>
      </c>
      <c r="I7" s="4">
        <v>1</v>
      </c>
      <c r="J7" s="4"/>
      <c r="K7" s="4">
        <v>428</v>
      </c>
      <c r="L7" s="4"/>
      <c r="M7" s="4">
        <v>398</v>
      </c>
      <c r="N7" s="4" t="str">
        <f t="shared" ca="1" si="0"/>
        <v>9M1</v>
      </c>
    </row>
    <row r="8" spans="1:14">
      <c r="A8" s="4" t="s">
        <v>493</v>
      </c>
      <c r="B8" s="6" t="str">
        <f>B7</f>
        <v>M1</v>
      </c>
      <c r="C8" s="4">
        <v>100</v>
      </c>
      <c r="D8" s="4">
        <v>1</v>
      </c>
      <c r="E8" s="4"/>
      <c r="F8" s="4">
        <v>250</v>
      </c>
      <c r="G8" s="4" t="s">
        <v>494</v>
      </c>
      <c r="H8" s="4">
        <v>0</v>
      </c>
      <c r="I8" s="4">
        <v>1</v>
      </c>
      <c r="J8" s="4"/>
      <c r="K8" s="4">
        <v>44</v>
      </c>
      <c r="L8" s="4"/>
      <c r="M8" s="4">
        <v>26</v>
      </c>
      <c r="N8" s="4" t="str">
        <f t="shared" ca="1" si="0"/>
        <v>9M1</v>
      </c>
    </row>
    <row r="9" spans="1:14">
      <c r="A9" s="4" t="s">
        <v>495</v>
      </c>
      <c r="B9" s="6" t="s">
        <v>24</v>
      </c>
      <c r="C9" s="4">
        <v>70</v>
      </c>
      <c r="D9" s="4">
        <v>1</v>
      </c>
      <c r="E9" s="4"/>
      <c r="F9" s="4">
        <v>250</v>
      </c>
      <c r="G9" s="4" t="s">
        <v>496</v>
      </c>
      <c r="H9" s="4">
        <v>0</v>
      </c>
      <c r="I9" s="4">
        <v>1</v>
      </c>
      <c r="J9" s="4"/>
      <c r="K9" s="4">
        <v>44</v>
      </c>
      <c r="L9" s="4"/>
      <c r="M9" s="4">
        <v>26</v>
      </c>
      <c r="N9" s="4" t="str">
        <f t="shared" ca="1" si="0"/>
        <v>9M1</v>
      </c>
    </row>
    <row r="10" spans="1:14">
      <c r="A10" s="4" t="s">
        <v>497</v>
      </c>
      <c r="B10" s="6" t="str">
        <f t="shared" ref="B10:B15" si="1">B9</f>
        <v>M1</v>
      </c>
      <c r="C10" s="4">
        <v>5</v>
      </c>
      <c r="D10" s="4">
        <v>-1</v>
      </c>
      <c r="E10" s="4">
        <v>-1</v>
      </c>
      <c r="F10" s="4">
        <v>250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9M1</v>
      </c>
    </row>
    <row r="11" spans="1:14">
      <c r="A11" s="4" t="s">
        <v>498</v>
      </c>
      <c r="B11" s="6" t="str">
        <f t="shared" si="1"/>
        <v>M1</v>
      </c>
      <c r="C11" s="4">
        <v>10</v>
      </c>
      <c r="D11" s="4">
        <v>-1</v>
      </c>
      <c r="E11" s="4">
        <v>-1</v>
      </c>
      <c r="F11" s="4">
        <v>250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9M1</v>
      </c>
    </row>
    <row r="12" spans="1:14">
      <c r="A12" s="4" t="s">
        <v>499</v>
      </c>
      <c r="B12" s="6" t="str">
        <f t="shared" si="1"/>
        <v>M1</v>
      </c>
      <c r="C12" s="4">
        <v>20</v>
      </c>
      <c r="D12" s="4">
        <v>-1</v>
      </c>
      <c r="E12" s="4">
        <v>-1</v>
      </c>
      <c r="F12" s="4">
        <v>250</v>
      </c>
      <c r="G12" s="4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9M1</v>
      </c>
    </row>
    <row r="13" spans="1:14">
      <c r="A13" s="4" t="s">
        <v>500</v>
      </c>
      <c r="B13" s="6" t="str">
        <f t="shared" si="1"/>
        <v>M1</v>
      </c>
      <c r="C13" s="4">
        <v>30</v>
      </c>
      <c r="D13" s="4">
        <v>-1</v>
      </c>
      <c r="E13" s="4">
        <v>-1</v>
      </c>
      <c r="F13" s="4">
        <v>250</v>
      </c>
      <c r="G13" s="4"/>
      <c r="H13" s="4">
        <v>0</v>
      </c>
      <c r="I13" s="4">
        <v>1</v>
      </c>
      <c r="J13" s="4"/>
      <c r="K13" s="4">
        <v>-1</v>
      </c>
      <c r="L13" s="4">
        <v>-1</v>
      </c>
      <c r="M13" s="4">
        <v>-1</v>
      </c>
      <c r="N13" s="4" t="str">
        <f t="shared" ca="1" si="0"/>
        <v>9M1</v>
      </c>
    </row>
    <row r="14" spans="1:14">
      <c r="A14" s="4" t="s">
        <v>501</v>
      </c>
      <c r="B14" s="6" t="str">
        <f t="shared" si="1"/>
        <v>M1</v>
      </c>
      <c r="C14" s="4">
        <v>40</v>
      </c>
      <c r="D14" s="4">
        <v>-1</v>
      </c>
      <c r="E14" s="4">
        <v>-1</v>
      </c>
      <c r="F14" s="4">
        <v>250</v>
      </c>
      <c r="G14" s="4"/>
      <c r="H14" s="4">
        <v>0</v>
      </c>
      <c r="I14" s="4">
        <v>1</v>
      </c>
      <c r="J14" s="4"/>
      <c r="K14" s="4">
        <v>-1</v>
      </c>
      <c r="L14" s="4">
        <v>-1</v>
      </c>
      <c r="M14" s="4">
        <v>-1</v>
      </c>
      <c r="N14" s="4" t="str">
        <f t="shared" ca="1" si="0"/>
        <v>9M1</v>
      </c>
    </row>
    <row r="15" spans="1:14">
      <c r="A15" s="3" t="s">
        <v>502</v>
      </c>
      <c r="B15" s="6" t="str">
        <f t="shared" si="1"/>
        <v>M1</v>
      </c>
      <c r="C15" s="3">
        <v>100</v>
      </c>
      <c r="D15" s="4">
        <v>-1</v>
      </c>
      <c r="E15" s="4">
        <v>-1</v>
      </c>
      <c r="F15" s="4">
        <v>250</v>
      </c>
      <c r="G15" s="3"/>
      <c r="H15" s="4">
        <v>0</v>
      </c>
      <c r="I15" s="4">
        <v>1</v>
      </c>
      <c r="J15" s="4"/>
      <c r="K15" s="4">
        <v>-1</v>
      </c>
      <c r="L15" s="4">
        <v>-1</v>
      </c>
      <c r="M15" s="4">
        <v>-1</v>
      </c>
      <c r="N15" s="4" t="str">
        <f t="shared" ca="1" si="0"/>
        <v>9M1</v>
      </c>
    </row>
    <row r="16" spans="1:14">
      <c r="A16" s="7" t="s">
        <v>503</v>
      </c>
      <c r="B16" s="8" t="s">
        <v>156</v>
      </c>
      <c r="C16" s="7">
        <v>40</v>
      </c>
      <c r="D16" s="8">
        <v>1</v>
      </c>
      <c r="E16" s="8">
        <v>2</v>
      </c>
      <c r="F16" s="8">
        <v>250</v>
      </c>
      <c r="G16" s="7" t="s">
        <v>504</v>
      </c>
      <c r="H16" s="8">
        <v>1</v>
      </c>
      <c r="I16" s="8">
        <v>2</v>
      </c>
      <c r="J16" s="8"/>
      <c r="K16" s="8">
        <v>76</v>
      </c>
      <c r="L16" s="8"/>
      <c r="M16" s="8">
        <v>46</v>
      </c>
      <c r="N16" s="4" t="str">
        <f t="shared" ca="1" si="0"/>
        <v>9M2</v>
      </c>
    </row>
    <row r="17" spans="1:14">
      <c r="A17" s="7" t="s">
        <v>505</v>
      </c>
      <c r="B17" s="8" t="str">
        <f t="shared" ref="B17:B26" si="2">B16</f>
        <v>M2</v>
      </c>
      <c r="C17" s="7">
        <v>5</v>
      </c>
      <c r="D17" s="8">
        <v>0</v>
      </c>
      <c r="E17" s="8">
        <v>0</v>
      </c>
      <c r="F17" s="8">
        <v>250</v>
      </c>
      <c r="G17" s="7" t="s">
        <v>506</v>
      </c>
      <c r="H17" s="8">
        <v>1</v>
      </c>
      <c r="I17" s="8">
        <v>2</v>
      </c>
      <c r="J17" s="8"/>
      <c r="K17" s="8">
        <v>428</v>
      </c>
      <c r="L17" s="8"/>
      <c r="M17" s="8">
        <v>9999</v>
      </c>
      <c r="N17" s="4" t="str">
        <f t="shared" ca="1" si="0"/>
        <v>9M2</v>
      </c>
    </row>
    <row r="18" spans="1:14">
      <c r="A18" s="7" t="s">
        <v>507</v>
      </c>
      <c r="B18" s="8" t="str">
        <f t="shared" si="2"/>
        <v>M2</v>
      </c>
      <c r="C18" s="7">
        <v>10</v>
      </c>
      <c r="D18" s="8">
        <v>0</v>
      </c>
      <c r="E18" s="8">
        <v>1</v>
      </c>
      <c r="F18" s="8">
        <v>250</v>
      </c>
      <c r="G18" s="8" t="s">
        <v>508</v>
      </c>
      <c r="H18" s="8">
        <v>1</v>
      </c>
      <c r="I18" s="8">
        <v>2</v>
      </c>
      <c r="J18" s="8"/>
      <c r="K18" s="8">
        <v>237</v>
      </c>
      <c r="L18" s="8"/>
      <c r="M18" s="8">
        <v>207</v>
      </c>
      <c r="N18" s="4" t="str">
        <f t="shared" ca="1" si="0"/>
        <v>9M2</v>
      </c>
    </row>
    <row r="19" spans="1:14">
      <c r="A19" s="7" t="s">
        <v>509</v>
      </c>
      <c r="B19" s="8" t="str">
        <f t="shared" si="2"/>
        <v>M2</v>
      </c>
      <c r="C19" s="7">
        <v>20</v>
      </c>
      <c r="D19" s="8">
        <v>0</v>
      </c>
      <c r="E19" s="8">
        <v>2</v>
      </c>
      <c r="F19" s="8">
        <v>250</v>
      </c>
      <c r="G19" s="7"/>
      <c r="H19" s="8">
        <v>1</v>
      </c>
      <c r="I19" s="8">
        <v>2</v>
      </c>
      <c r="J19" s="8"/>
      <c r="K19" s="8">
        <v>109</v>
      </c>
      <c r="L19" s="8"/>
      <c r="M19" s="8">
        <v>112</v>
      </c>
      <c r="N19" s="4" t="str">
        <f t="shared" ca="1" si="0"/>
        <v>9M2</v>
      </c>
    </row>
    <row r="20" spans="1:14">
      <c r="A20" s="7" t="s">
        <v>510</v>
      </c>
      <c r="B20" s="8" t="str">
        <f t="shared" si="2"/>
        <v>M2</v>
      </c>
      <c r="C20" s="7">
        <v>30</v>
      </c>
      <c r="D20" s="8">
        <v>0</v>
      </c>
      <c r="E20" s="8">
        <v>1</v>
      </c>
      <c r="F20" s="8">
        <v>250</v>
      </c>
      <c r="G20" s="7" t="s">
        <v>511</v>
      </c>
      <c r="H20" s="8">
        <v>1</v>
      </c>
      <c r="I20" s="8">
        <v>2</v>
      </c>
      <c r="J20" s="8"/>
      <c r="K20" s="8">
        <v>77</v>
      </c>
      <c r="L20" s="8"/>
      <c r="M20" s="8">
        <v>93</v>
      </c>
      <c r="N20" s="4" t="str">
        <f t="shared" ca="1" si="0"/>
        <v>9M2</v>
      </c>
    </row>
    <row r="21" spans="1:14">
      <c r="A21" s="7" t="s">
        <v>512</v>
      </c>
      <c r="B21" s="8" t="str">
        <f t="shared" si="2"/>
        <v>M2</v>
      </c>
      <c r="C21" s="7">
        <v>40</v>
      </c>
      <c r="D21" s="8">
        <v>1</v>
      </c>
      <c r="E21" s="8">
        <v>0</v>
      </c>
      <c r="F21" s="8">
        <v>250</v>
      </c>
      <c r="G21" s="7" t="s">
        <v>513</v>
      </c>
      <c r="H21" s="8">
        <v>2</v>
      </c>
      <c r="I21" s="8">
        <v>2</v>
      </c>
      <c r="J21" s="8"/>
      <c r="K21" s="8">
        <v>77</v>
      </c>
      <c r="L21" s="8"/>
      <c r="M21" s="8">
        <v>59</v>
      </c>
      <c r="N21" s="4" t="str">
        <f t="shared" ca="1" si="0"/>
        <v>9M2</v>
      </c>
    </row>
    <row r="22" spans="1:14">
      <c r="A22" s="7" t="s">
        <v>514</v>
      </c>
      <c r="B22" s="8" t="str">
        <f t="shared" si="2"/>
        <v>M2</v>
      </c>
      <c r="C22" s="7">
        <v>5</v>
      </c>
      <c r="D22" s="8">
        <v>-1</v>
      </c>
      <c r="E22" s="8">
        <v>-1</v>
      </c>
      <c r="F22" s="8">
        <v>250</v>
      </c>
      <c r="G22" s="7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9M2</v>
      </c>
    </row>
    <row r="23" spans="1:14">
      <c r="A23" s="8" t="s">
        <v>515</v>
      </c>
      <c r="B23" s="8" t="str">
        <f t="shared" si="2"/>
        <v>M2</v>
      </c>
      <c r="C23" s="8">
        <v>10</v>
      </c>
      <c r="D23" s="8">
        <v>-1</v>
      </c>
      <c r="E23" s="8">
        <v>-1</v>
      </c>
      <c r="F23" s="8">
        <v>250</v>
      </c>
      <c r="G23" s="8"/>
      <c r="H23" s="8">
        <v>0</v>
      </c>
      <c r="I23" s="8">
        <v>2</v>
      </c>
      <c r="J23" s="8"/>
      <c r="K23" s="8">
        <v>-1</v>
      </c>
      <c r="L23" s="8">
        <v>-1</v>
      </c>
      <c r="M23" s="8">
        <v>-1</v>
      </c>
      <c r="N23" s="4" t="str">
        <f t="shared" ca="1" si="0"/>
        <v>9M2</v>
      </c>
    </row>
    <row r="24" spans="1:14">
      <c r="A24" s="8" t="s">
        <v>516</v>
      </c>
      <c r="B24" s="8" t="str">
        <f t="shared" si="2"/>
        <v>M2</v>
      </c>
      <c r="C24" s="8">
        <v>20</v>
      </c>
      <c r="D24" s="8">
        <v>-1</v>
      </c>
      <c r="E24" s="8">
        <v>-1</v>
      </c>
      <c r="F24" s="8">
        <v>250</v>
      </c>
      <c r="G24" s="8"/>
      <c r="H24" s="8">
        <v>0</v>
      </c>
      <c r="I24" s="8">
        <v>2</v>
      </c>
      <c r="J24" s="8"/>
      <c r="K24" s="8">
        <v>-1</v>
      </c>
      <c r="L24" s="8">
        <v>-1</v>
      </c>
      <c r="M24" s="8">
        <v>-1</v>
      </c>
      <c r="N24" s="4" t="str">
        <f t="shared" ca="1" si="0"/>
        <v>9M2</v>
      </c>
    </row>
    <row r="25" spans="1:14">
      <c r="A25" s="8" t="s">
        <v>517</v>
      </c>
      <c r="B25" s="8" t="str">
        <f t="shared" si="2"/>
        <v>M2</v>
      </c>
      <c r="C25" s="8">
        <v>30</v>
      </c>
      <c r="D25" s="8">
        <v>-1</v>
      </c>
      <c r="E25" s="8">
        <v>-1</v>
      </c>
      <c r="F25" s="8">
        <v>250</v>
      </c>
      <c r="G25" s="8"/>
      <c r="H25" s="8">
        <v>0</v>
      </c>
      <c r="I25" s="8">
        <v>2</v>
      </c>
      <c r="J25" s="8"/>
      <c r="K25" s="8">
        <v>-1</v>
      </c>
      <c r="L25" s="8">
        <v>-1</v>
      </c>
      <c r="M25" s="8">
        <v>-1</v>
      </c>
      <c r="N25" s="4" t="str">
        <f t="shared" ca="1" si="0"/>
        <v>9M2</v>
      </c>
    </row>
    <row r="26" spans="1:14">
      <c r="A26" s="8" t="s">
        <v>518</v>
      </c>
      <c r="B26" s="8" t="str">
        <f t="shared" si="2"/>
        <v>M2</v>
      </c>
      <c r="C26" s="8">
        <v>40</v>
      </c>
      <c r="D26" s="8">
        <v>-1</v>
      </c>
      <c r="E26" s="8">
        <v>-1</v>
      </c>
      <c r="F26" s="8">
        <v>250</v>
      </c>
      <c r="G26" s="8"/>
      <c r="H26" s="8">
        <v>0</v>
      </c>
      <c r="I26" s="8">
        <v>2</v>
      </c>
      <c r="J26" s="8"/>
      <c r="K26" s="8">
        <v>-1</v>
      </c>
      <c r="L26" s="8">
        <v>-1</v>
      </c>
      <c r="M26" s="8">
        <v>-1</v>
      </c>
      <c r="N26" s="4" t="str">
        <f t="shared" ca="1" si="0"/>
        <v>9M2</v>
      </c>
    </row>
    <row r="27" spans="1:14">
      <c r="A27" s="4" t="s">
        <v>519</v>
      </c>
      <c r="B27" s="3" t="s">
        <v>27</v>
      </c>
      <c r="C27" s="4">
        <v>5</v>
      </c>
      <c r="D27" s="4">
        <v>0</v>
      </c>
      <c r="E27" s="4">
        <v>0</v>
      </c>
      <c r="F27" s="3">
        <v>150</v>
      </c>
      <c r="G27" s="4"/>
      <c r="H27" s="4">
        <v>1</v>
      </c>
      <c r="I27" s="4">
        <v>3</v>
      </c>
      <c r="J27" s="4"/>
      <c r="K27" s="4">
        <v>428</v>
      </c>
      <c r="L27" s="4"/>
      <c r="M27" s="4">
        <v>9999</v>
      </c>
      <c r="N27" s="4" t="str">
        <f t="shared" ca="1" si="0"/>
        <v>9AP1</v>
      </c>
    </row>
    <row r="28" spans="1:14">
      <c r="A28" s="4" t="s">
        <v>520</v>
      </c>
      <c r="B28" s="3" t="str">
        <f>B27</f>
        <v>AP1</v>
      </c>
      <c r="C28" s="4">
        <v>20</v>
      </c>
      <c r="D28" s="4">
        <v>1</v>
      </c>
      <c r="E28" s="4">
        <v>1</v>
      </c>
      <c r="F28" s="3">
        <v>150</v>
      </c>
      <c r="G28" s="4"/>
      <c r="H28" s="4">
        <v>1</v>
      </c>
      <c r="I28" s="4">
        <v>3</v>
      </c>
      <c r="J28" s="4"/>
      <c r="K28" s="4">
        <v>109</v>
      </c>
      <c r="L28" s="4"/>
      <c r="M28" s="4">
        <v>95</v>
      </c>
      <c r="N28" s="4" t="str">
        <f t="shared" ca="1" si="0"/>
        <v>9AP1</v>
      </c>
    </row>
    <row r="29" spans="1:14">
      <c r="A29" s="4" t="s">
        <v>521</v>
      </c>
      <c r="B29" s="3" t="str">
        <f>B28</f>
        <v>AP1</v>
      </c>
      <c r="C29" s="4">
        <v>40</v>
      </c>
      <c r="D29" s="4">
        <v>1</v>
      </c>
      <c r="E29" s="4">
        <v>1</v>
      </c>
      <c r="F29" s="3">
        <v>150</v>
      </c>
      <c r="G29" s="4" t="s">
        <v>522</v>
      </c>
      <c r="H29" s="4">
        <v>1</v>
      </c>
      <c r="I29" s="4">
        <v>3</v>
      </c>
      <c r="J29" s="4"/>
      <c r="K29" s="4">
        <v>77</v>
      </c>
      <c r="L29" s="4"/>
      <c r="M29" s="4">
        <v>52</v>
      </c>
      <c r="N29" s="4" t="str">
        <f t="shared" ca="1" si="0"/>
        <v>9AP1</v>
      </c>
    </row>
    <row r="30" spans="1:14">
      <c r="A30" s="4" t="s">
        <v>523</v>
      </c>
      <c r="B30" s="3" t="str">
        <f>B29</f>
        <v>AP1</v>
      </c>
      <c r="C30" s="4">
        <v>10</v>
      </c>
      <c r="D30" s="4">
        <v>0</v>
      </c>
      <c r="E30" s="4">
        <v>1</v>
      </c>
      <c r="F30" s="3">
        <v>150</v>
      </c>
      <c r="G30" s="4" t="s">
        <v>524</v>
      </c>
      <c r="H30" s="4">
        <v>1</v>
      </c>
      <c r="I30" s="4">
        <v>3</v>
      </c>
      <c r="J30" s="4"/>
      <c r="K30" s="4">
        <v>237</v>
      </c>
      <c r="L30" s="4"/>
      <c r="M30" s="4">
        <v>206</v>
      </c>
      <c r="N30" s="4" t="str">
        <f t="shared" ca="1" si="0"/>
        <v>9AP1</v>
      </c>
    </row>
    <row r="31" spans="1:14">
      <c r="A31" s="4" t="s">
        <v>525</v>
      </c>
      <c r="B31" s="3" t="str">
        <f>B30</f>
        <v>AP1</v>
      </c>
      <c r="C31" s="4">
        <v>30</v>
      </c>
      <c r="D31" s="4">
        <v>1</v>
      </c>
      <c r="E31" s="4">
        <v>1</v>
      </c>
      <c r="F31" s="3">
        <v>150</v>
      </c>
      <c r="G31" s="9" t="s">
        <v>526</v>
      </c>
      <c r="H31" s="4">
        <v>1</v>
      </c>
      <c r="I31" s="4">
        <v>3</v>
      </c>
      <c r="J31" s="4"/>
      <c r="K31" s="4">
        <v>77</v>
      </c>
      <c r="L31" s="4"/>
      <c r="M31" s="4">
        <v>45</v>
      </c>
      <c r="N31" s="4" t="str">
        <f t="shared" ca="1" si="0"/>
        <v>9AP1</v>
      </c>
    </row>
    <row r="32" spans="1:14">
      <c r="A32" s="4" t="s">
        <v>527</v>
      </c>
      <c r="B32" s="3" t="s">
        <v>27</v>
      </c>
      <c r="C32" s="4">
        <v>5</v>
      </c>
      <c r="D32" s="4">
        <v>0</v>
      </c>
      <c r="E32" s="4">
        <v>1</v>
      </c>
      <c r="F32" s="3">
        <v>150</v>
      </c>
      <c r="G32" s="9"/>
      <c r="H32" s="4">
        <v>2</v>
      </c>
      <c r="I32" s="4">
        <v>3</v>
      </c>
      <c r="J32" s="4"/>
      <c r="K32" s="4">
        <v>428</v>
      </c>
      <c r="L32" s="4"/>
      <c r="M32" s="4">
        <v>404</v>
      </c>
      <c r="N32" s="4" t="str">
        <f t="shared" ca="1" si="0"/>
        <v>9AP1</v>
      </c>
    </row>
    <row r="33" spans="1:14">
      <c r="A33" s="4" t="s">
        <v>528</v>
      </c>
      <c r="B33" s="3" t="str">
        <f>B31</f>
        <v>AP1</v>
      </c>
      <c r="C33" s="4">
        <v>5</v>
      </c>
      <c r="D33" s="4">
        <v>-1</v>
      </c>
      <c r="E33" s="4">
        <v>-1</v>
      </c>
      <c r="F33" s="3">
        <v>150</v>
      </c>
      <c r="G33" s="4" t="s">
        <v>529</v>
      </c>
      <c r="H33" s="4">
        <v>0</v>
      </c>
      <c r="I33" s="4">
        <v>3</v>
      </c>
      <c r="J33" s="4"/>
      <c r="K33" s="4">
        <v>-1</v>
      </c>
      <c r="L33" s="4">
        <v>-1</v>
      </c>
      <c r="M33" s="4">
        <v>-1</v>
      </c>
      <c r="N33" s="4" t="str">
        <f t="shared" ca="1" si="0"/>
        <v>9AP1</v>
      </c>
    </row>
    <row r="34" spans="1:14">
      <c r="A34" s="4" t="s">
        <v>530</v>
      </c>
      <c r="B34" s="3" t="str">
        <f>B33</f>
        <v>AP1</v>
      </c>
      <c r="C34" s="4">
        <v>10</v>
      </c>
      <c r="D34" s="4">
        <v>-1</v>
      </c>
      <c r="E34" s="4">
        <v>-1</v>
      </c>
      <c r="F34" s="3">
        <v>150</v>
      </c>
      <c r="G34" s="4"/>
      <c r="H34" s="4">
        <v>0</v>
      </c>
      <c r="I34" s="4">
        <v>3</v>
      </c>
      <c r="J34" s="4"/>
      <c r="K34" s="4">
        <v>-1</v>
      </c>
      <c r="L34" s="4">
        <v>-1</v>
      </c>
      <c r="M34" s="4">
        <v>-1</v>
      </c>
      <c r="N34" s="4" t="str">
        <f t="shared" ca="1" si="0"/>
        <v>9AP1</v>
      </c>
    </row>
    <row r="35" spans="1:14">
      <c r="A35" s="4" t="s">
        <v>531</v>
      </c>
      <c r="B35" s="3" t="str">
        <f>B34</f>
        <v>AP1</v>
      </c>
      <c r="C35" s="4">
        <v>20</v>
      </c>
      <c r="D35" s="4">
        <v>-1</v>
      </c>
      <c r="E35" s="4">
        <v>-1</v>
      </c>
      <c r="F35" s="3">
        <v>150</v>
      </c>
      <c r="G35" s="4"/>
      <c r="H35" s="4">
        <v>0</v>
      </c>
      <c r="I35" s="4">
        <v>3</v>
      </c>
      <c r="J35" s="4"/>
      <c r="K35" s="4">
        <v>-1</v>
      </c>
      <c r="L35" s="4">
        <v>-1</v>
      </c>
      <c r="M35" s="4">
        <v>-1</v>
      </c>
      <c r="N35" s="4" t="str">
        <f t="shared" ca="1" si="0"/>
        <v>9AP1</v>
      </c>
    </row>
    <row r="36" spans="1:14">
      <c r="A36" s="4" t="s">
        <v>532</v>
      </c>
      <c r="B36" s="3" t="str">
        <f>B35</f>
        <v>AP1</v>
      </c>
      <c r="C36" s="4">
        <v>30</v>
      </c>
      <c r="D36" s="4">
        <v>-1</v>
      </c>
      <c r="E36" s="4">
        <v>-1</v>
      </c>
      <c r="F36" s="3">
        <v>150</v>
      </c>
      <c r="G36" s="4"/>
      <c r="H36" s="4">
        <v>0</v>
      </c>
      <c r="I36" s="4">
        <v>3</v>
      </c>
      <c r="J36" s="4"/>
      <c r="K36" s="4">
        <v>-1</v>
      </c>
      <c r="L36" s="4">
        <v>-1</v>
      </c>
      <c r="M36" s="4">
        <v>-1</v>
      </c>
      <c r="N36" s="4" t="str">
        <f t="shared" ca="1" si="0"/>
        <v>9AP1</v>
      </c>
    </row>
    <row r="37" spans="1:14">
      <c r="A37" s="4" t="s">
        <v>533</v>
      </c>
      <c r="B37" s="3" t="str">
        <f>B36</f>
        <v>AP1</v>
      </c>
      <c r="C37" s="4">
        <v>40</v>
      </c>
      <c r="D37" s="4">
        <v>-1</v>
      </c>
      <c r="E37" s="4">
        <v>-1</v>
      </c>
      <c r="F37" s="3">
        <v>150</v>
      </c>
      <c r="G37" s="4"/>
      <c r="H37" s="4">
        <v>0</v>
      </c>
      <c r="I37" s="4">
        <v>3</v>
      </c>
      <c r="J37" s="4"/>
      <c r="K37" s="4">
        <v>-1</v>
      </c>
      <c r="L37" s="4">
        <v>-1</v>
      </c>
      <c r="M37" s="4">
        <v>-1</v>
      </c>
      <c r="N37" s="4" t="str">
        <f t="shared" ca="1" si="0"/>
        <v>9AP1</v>
      </c>
    </row>
    <row r="38" spans="1:14">
      <c r="A38" s="4" t="s">
        <v>534</v>
      </c>
      <c r="B38" s="3" t="str">
        <f>B37</f>
        <v>AP1</v>
      </c>
      <c r="C38" s="4">
        <v>100</v>
      </c>
      <c r="D38" s="4">
        <v>-1</v>
      </c>
      <c r="E38" s="4">
        <v>-1</v>
      </c>
      <c r="F38" s="3">
        <v>150</v>
      </c>
      <c r="G38" s="4"/>
      <c r="H38" s="4">
        <v>0</v>
      </c>
      <c r="I38" s="4">
        <v>3</v>
      </c>
      <c r="J38" s="4"/>
      <c r="K38" s="4">
        <v>-1</v>
      </c>
      <c r="L38" s="4">
        <v>-1</v>
      </c>
      <c r="M38" s="4">
        <v>-1</v>
      </c>
      <c r="N38" s="4" t="str">
        <f t="shared" ca="1" si="0"/>
        <v>9AP1</v>
      </c>
    </row>
    <row r="39" spans="1:14">
      <c r="A39" s="8" t="s">
        <v>535</v>
      </c>
      <c r="B39" s="8" t="s">
        <v>17</v>
      </c>
      <c r="C39" s="8">
        <v>20</v>
      </c>
      <c r="D39" s="8">
        <v>0</v>
      </c>
      <c r="E39" s="8">
        <v>1</v>
      </c>
      <c r="F39" s="8">
        <v>75</v>
      </c>
      <c r="G39" s="8" t="s">
        <v>536</v>
      </c>
      <c r="H39" s="8">
        <v>1</v>
      </c>
      <c r="I39" s="8">
        <v>4</v>
      </c>
      <c r="J39" s="8"/>
      <c r="K39" s="8">
        <v>109</v>
      </c>
      <c r="L39" s="8"/>
      <c r="M39" s="8">
        <v>106</v>
      </c>
      <c r="N39" s="4" t="str">
        <f t="shared" ca="1" si="0"/>
        <v>9AP2</v>
      </c>
    </row>
    <row r="40" spans="1:14">
      <c r="A40" s="8" t="s">
        <v>537</v>
      </c>
      <c r="B40" s="8" t="str">
        <f>B39</f>
        <v>AP2</v>
      </c>
      <c r="C40" s="8">
        <v>5</v>
      </c>
      <c r="D40" s="8">
        <v>0</v>
      </c>
      <c r="E40" s="8">
        <v>0</v>
      </c>
      <c r="F40" s="8">
        <v>75</v>
      </c>
      <c r="G40" s="8"/>
      <c r="H40" s="8">
        <v>1</v>
      </c>
      <c r="I40" s="8">
        <v>4</v>
      </c>
      <c r="J40" s="8"/>
      <c r="K40" s="8">
        <v>428</v>
      </c>
      <c r="L40" s="8"/>
      <c r="M40" s="8">
        <v>9999</v>
      </c>
      <c r="N40" s="4" t="str">
        <f t="shared" ca="1" si="0"/>
        <v>9AP2</v>
      </c>
    </row>
    <row r="41" spans="1:14">
      <c r="A41" s="8" t="s">
        <v>538</v>
      </c>
      <c r="B41" s="8" t="str">
        <f>B40</f>
        <v>AP2</v>
      </c>
      <c r="C41" s="8">
        <v>10</v>
      </c>
      <c r="D41" s="8">
        <v>0</v>
      </c>
      <c r="E41" s="8">
        <v>0</v>
      </c>
      <c r="F41" s="8">
        <v>75</v>
      </c>
      <c r="G41" s="8"/>
      <c r="H41" s="8">
        <v>1</v>
      </c>
      <c r="I41" s="8">
        <v>4</v>
      </c>
      <c r="J41" s="8"/>
      <c r="K41" s="8">
        <v>237</v>
      </c>
      <c r="L41" s="8"/>
      <c r="M41" s="8">
        <v>9999</v>
      </c>
      <c r="N41" s="4" t="str">
        <f t="shared" ca="1" si="0"/>
        <v>9AP2</v>
      </c>
    </row>
    <row r="42" spans="1:14">
      <c r="A42" s="8" t="s">
        <v>539</v>
      </c>
      <c r="B42" s="8" t="str">
        <f>B41</f>
        <v>AP2</v>
      </c>
      <c r="C42" s="8">
        <v>40</v>
      </c>
      <c r="D42" s="8">
        <v>1</v>
      </c>
      <c r="E42" s="8">
        <v>1</v>
      </c>
      <c r="F42" s="8">
        <v>75</v>
      </c>
      <c r="G42" s="8"/>
      <c r="H42" s="8">
        <v>1</v>
      </c>
      <c r="I42" s="8">
        <v>4</v>
      </c>
      <c r="J42" s="8"/>
      <c r="K42" s="8">
        <v>77</v>
      </c>
      <c r="L42" s="8"/>
      <c r="M42" s="8">
        <v>50</v>
      </c>
      <c r="N42" s="4" t="str">
        <f t="shared" ca="1" si="0"/>
        <v>9AP2</v>
      </c>
    </row>
    <row r="43" spans="1:14">
      <c r="A43" s="8" t="s">
        <v>540</v>
      </c>
      <c r="B43" s="8" t="str">
        <f>B42</f>
        <v>AP2</v>
      </c>
      <c r="C43" s="8">
        <v>30</v>
      </c>
      <c r="D43" s="8">
        <v>1</v>
      </c>
      <c r="E43" s="8">
        <v>1</v>
      </c>
      <c r="F43" s="8">
        <v>75</v>
      </c>
      <c r="G43" s="8"/>
      <c r="H43" s="8">
        <v>1</v>
      </c>
      <c r="I43" s="8">
        <v>4</v>
      </c>
      <c r="J43" s="8"/>
      <c r="K43" s="8">
        <v>77</v>
      </c>
      <c r="L43" s="8"/>
      <c r="M43" s="8">
        <v>65</v>
      </c>
      <c r="N43" s="4" t="str">
        <f t="shared" ca="1" si="0"/>
        <v>9AP2</v>
      </c>
    </row>
    <row r="44" spans="1:14">
      <c r="A44" s="8"/>
      <c r="B44" s="8" t="str">
        <f>B43</f>
        <v>AP2</v>
      </c>
      <c r="C44" s="8">
        <v>20</v>
      </c>
      <c r="D44" s="8">
        <v>1</v>
      </c>
      <c r="E44" s="8">
        <v>1</v>
      </c>
      <c r="F44" s="8">
        <v>75</v>
      </c>
      <c r="G44" s="8"/>
      <c r="H44" s="8">
        <v>2</v>
      </c>
      <c r="I44" s="8">
        <v>4</v>
      </c>
      <c r="J44" s="8"/>
      <c r="K44" s="8">
        <v>109</v>
      </c>
      <c r="L44" s="8"/>
      <c r="M44" s="8">
        <v>89</v>
      </c>
      <c r="N44" s="4" t="str">
        <f t="shared" ca="1" si="0"/>
        <v>9AP2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5"/>
  <sheetViews>
    <sheetView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541</v>
      </c>
      <c r="B2" s="6" t="s">
        <v>24</v>
      </c>
      <c r="C2" s="6">
        <v>40</v>
      </c>
      <c r="D2" s="4">
        <v>0</v>
      </c>
      <c r="E2" s="4"/>
      <c r="F2" s="4">
        <v>150</v>
      </c>
      <c r="G2" s="5"/>
      <c r="H2" s="4">
        <v>1</v>
      </c>
      <c r="I2" s="4">
        <v>1</v>
      </c>
      <c r="J2" s="4">
        <f>MAX(I:I)</f>
        <v>6</v>
      </c>
      <c r="K2" s="4">
        <v>77</v>
      </c>
      <c r="L2" s="4">
        <v>55</v>
      </c>
      <c r="M2" s="4">
        <v>57</v>
      </c>
      <c r="N2" s="4" t="str">
        <f t="shared" ref="N2:N45" ca="1" si="0">_xlfn.CONCAT(_xlfn.SHEET(A1),B2)</f>
        <v>10M1</v>
      </c>
    </row>
    <row r="3" spans="1:14">
      <c r="A3" s="5" t="s">
        <v>542</v>
      </c>
      <c r="B3" s="6" t="str">
        <f>B2</f>
        <v>M1</v>
      </c>
      <c r="C3" s="6">
        <v>5</v>
      </c>
      <c r="D3" s="6">
        <v>0</v>
      </c>
      <c r="E3" s="6"/>
      <c r="F3" s="4">
        <v>150</v>
      </c>
      <c r="G3" s="4"/>
      <c r="H3" s="4">
        <v>1</v>
      </c>
      <c r="I3" s="4">
        <v>1</v>
      </c>
      <c r="J3" s="4"/>
      <c r="K3" s="4">
        <v>428</v>
      </c>
      <c r="L3" s="4">
        <v>399</v>
      </c>
      <c r="M3" s="4">
        <v>406</v>
      </c>
      <c r="N3" s="4" t="str">
        <f t="shared" ca="1" si="0"/>
        <v>10M1</v>
      </c>
    </row>
    <row r="4" spans="1:14">
      <c r="A4" s="5" t="s">
        <v>543</v>
      </c>
      <c r="B4" s="6" t="str">
        <f>B3</f>
        <v>M1</v>
      </c>
      <c r="C4" s="6">
        <v>10</v>
      </c>
      <c r="D4" s="6">
        <v>0</v>
      </c>
      <c r="E4" s="6"/>
      <c r="F4" s="4">
        <v>150</v>
      </c>
      <c r="G4" s="4"/>
      <c r="H4" s="4">
        <v>1</v>
      </c>
      <c r="I4" s="4">
        <v>1</v>
      </c>
      <c r="J4" s="4"/>
      <c r="K4" s="4">
        <v>237</v>
      </c>
      <c r="L4" s="4">
        <v>201</v>
      </c>
      <c r="M4" s="4">
        <v>200</v>
      </c>
      <c r="N4" s="4" t="str">
        <f t="shared" ca="1" si="0"/>
        <v>10M1</v>
      </c>
    </row>
    <row r="5" spans="1:14">
      <c r="A5" s="4" t="s">
        <v>544</v>
      </c>
      <c r="B5" s="6" t="str">
        <f>B4</f>
        <v>M1</v>
      </c>
      <c r="C5" s="4">
        <v>20</v>
      </c>
      <c r="D5" s="4">
        <v>1</v>
      </c>
      <c r="E5" s="4">
        <v>2</v>
      </c>
      <c r="F5" s="4">
        <v>150</v>
      </c>
      <c r="G5" s="4"/>
      <c r="H5" s="4">
        <v>1</v>
      </c>
      <c r="I5" s="4">
        <v>1</v>
      </c>
      <c r="J5" s="4"/>
      <c r="K5" s="4">
        <v>109</v>
      </c>
      <c r="L5" s="4">
        <v>102</v>
      </c>
      <c r="M5" s="4">
        <v>100</v>
      </c>
      <c r="N5" s="4" t="str">
        <f t="shared" ca="1" si="0"/>
        <v>10M1</v>
      </c>
    </row>
    <row r="6" spans="1:14">
      <c r="A6" s="4" t="s">
        <v>545</v>
      </c>
      <c r="B6" s="6" t="str">
        <f>B5</f>
        <v>M1</v>
      </c>
      <c r="C6" s="4">
        <v>30</v>
      </c>
      <c r="D6" s="4">
        <v>1</v>
      </c>
      <c r="E6" s="4"/>
      <c r="F6" s="4">
        <v>150</v>
      </c>
      <c r="G6" s="4"/>
      <c r="H6" s="4">
        <v>1</v>
      </c>
      <c r="I6" s="4">
        <v>1</v>
      </c>
      <c r="J6" s="4"/>
      <c r="K6" s="4">
        <v>77</v>
      </c>
      <c r="L6" s="4">
        <v>70</v>
      </c>
      <c r="M6" s="4">
        <v>68</v>
      </c>
      <c r="N6" s="4" t="str">
        <f t="shared" ca="1" si="0"/>
        <v>10M1</v>
      </c>
    </row>
    <row r="7" spans="1:14">
      <c r="A7" s="4" t="s">
        <v>546</v>
      </c>
      <c r="B7" s="6" t="str">
        <f>B6</f>
        <v>M1</v>
      </c>
      <c r="C7" s="4">
        <v>40</v>
      </c>
      <c r="D7" s="4">
        <v>0</v>
      </c>
      <c r="E7" s="4">
        <v>1</v>
      </c>
      <c r="F7" s="4">
        <v>150</v>
      </c>
      <c r="G7" s="4"/>
      <c r="H7" s="4">
        <v>2</v>
      </c>
      <c r="I7" s="4">
        <v>1</v>
      </c>
      <c r="J7" s="4"/>
      <c r="K7" s="4">
        <v>77</v>
      </c>
      <c r="L7" s="4">
        <v>55</v>
      </c>
      <c r="M7" s="4">
        <v>51</v>
      </c>
      <c r="N7" s="4" t="str">
        <f t="shared" ca="1" si="0"/>
        <v>10M1</v>
      </c>
    </row>
    <row r="8" spans="1:14">
      <c r="A8" s="7" t="s">
        <v>547</v>
      </c>
      <c r="B8" s="8" t="s">
        <v>156</v>
      </c>
      <c r="C8" s="7">
        <v>10</v>
      </c>
      <c r="D8" s="8">
        <v>0</v>
      </c>
      <c r="E8" s="8"/>
      <c r="F8" s="8">
        <v>150</v>
      </c>
      <c r="G8" s="7" t="s">
        <v>548</v>
      </c>
      <c r="H8" s="8">
        <v>1</v>
      </c>
      <c r="I8" s="8">
        <v>2</v>
      </c>
      <c r="J8" s="8"/>
      <c r="K8" s="8">
        <v>237</v>
      </c>
      <c r="L8" s="8">
        <v>201</v>
      </c>
      <c r="M8" s="8">
        <v>207</v>
      </c>
      <c r="N8" s="4" t="str">
        <f t="shared" ca="1" si="0"/>
        <v>10M2</v>
      </c>
    </row>
    <row r="9" spans="1:14">
      <c r="A9" s="7" t="s">
        <v>549</v>
      </c>
      <c r="B9" s="8" t="str">
        <f>B8</f>
        <v>M2</v>
      </c>
      <c r="C9" s="7">
        <v>5</v>
      </c>
      <c r="D9" s="8">
        <v>0</v>
      </c>
      <c r="E9" s="8"/>
      <c r="F9" s="8">
        <f>F8</f>
        <v>150</v>
      </c>
      <c r="G9" s="7"/>
      <c r="H9" s="8">
        <v>1</v>
      </c>
      <c r="I9" s="8">
        <v>2</v>
      </c>
      <c r="J9" s="8"/>
      <c r="K9" s="8">
        <v>428</v>
      </c>
      <c r="L9" s="8">
        <v>400</v>
      </c>
      <c r="M9" s="8">
        <v>395</v>
      </c>
      <c r="N9" s="4" t="str">
        <f t="shared" ca="1" si="0"/>
        <v>10M2</v>
      </c>
    </row>
    <row r="10" spans="1:14">
      <c r="A10" s="7" t="s">
        <v>550</v>
      </c>
      <c r="B10" s="8" t="str">
        <f>B9</f>
        <v>M2</v>
      </c>
      <c r="C10" s="7">
        <v>20</v>
      </c>
      <c r="D10" s="8">
        <v>0</v>
      </c>
      <c r="E10" s="8"/>
      <c r="F10" s="8">
        <f>F9</f>
        <v>150</v>
      </c>
      <c r="G10" s="8"/>
      <c r="H10" s="8">
        <v>1</v>
      </c>
      <c r="I10" s="8">
        <v>2</v>
      </c>
      <c r="J10" s="8"/>
      <c r="K10" s="8">
        <v>109</v>
      </c>
      <c r="L10" s="8">
        <v>102</v>
      </c>
      <c r="M10" s="8">
        <v>107</v>
      </c>
      <c r="N10" s="4" t="str">
        <f t="shared" ca="1" si="0"/>
        <v>10M2</v>
      </c>
    </row>
    <row r="11" spans="1:14">
      <c r="A11" s="7" t="s">
        <v>551</v>
      </c>
      <c r="B11" s="8" t="str">
        <f>B10</f>
        <v>M2</v>
      </c>
      <c r="C11" s="7">
        <v>40</v>
      </c>
      <c r="D11" s="8">
        <v>0</v>
      </c>
      <c r="E11" s="8"/>
      <c r="F11" s="8">
        <f>F10</f>
        <v>150</v>
      </c>
      <c r="G11" s="7"/>
      <c r="H11" s="8">
        <v>1</v>
      </c>
      <c r="I11" s="8">
        <v>2</v>
      </c>
      <c r="J11" s="8"/>
      <c r="K11" s="8">
        <v>77</v>
      </c>
      <c r="L11" s="8">
        <v>55</v>
      </c>
      <c r="M11" s="8">
        <v>50</v>
      </c>
      <c r="N11" s="4" t="str">
        <f t="shared" ca="1" si="0"/>
        <v>10M2</v>
      </c>
    </row>
    <row r="12" spans="1:14">
      <c r="A12" s="7" t="s">
        <v>552</v>
      </c>
      <c r="B12" s="8" t="str">
        <f>B11</f>
        <v>M2</v>
      </c>
      <c r="C12" s="7">
        <v>30</v>
      </c>
      <c r="D12" s="8">
        <v>0</v>
      </c>
      <c r="E12" s="8"/>
      <c r="F12" s="8">
        <f>F11</f>
        <v>150</v>
      </c>
      <c r="G12" s="7"/>
      <c r="H12" s="8">
        <v>1</v>
      </c>
      <c r="I12" s="8">
        <v>2</v>
      </c>
      <c r="J12" s="8"/>
      <c r="K12" s="8">
        <v>77</v>
      </c>
      <c r="L12" s="8">
        <v>72</v>
      </c>
      <c r="M12" s="8">
        <v>75</v>
      </c>
      <c r="N12" s="4" t="str">
        <f t="shared" ca="1" si="0"/>
        <v>10M2</v>
      </c>
    </row>
    <row r="13" spans="1:14">
      <c r="A13" s="7" t="s">
        <v>553</v>
      </c>
      <c r="B13" s="8" t="str">
        <f>B12</f>
        <v>M2</v>
      </c>
      <c r="C13" s="7">
        <v>10</v>
      </c>
      <c r="D13" s="8">
        <v>0</v>
      </c>
      <c r="E13" s="8"/>
      <c r="F13" s="8">
        <f>F12</f>
        <v>150</v>
      </c>
      <c r="G13" s="7"/>
      <c r="H13" s="8">
        <v>2</v>
      </c>
      <c r="I13" s="8">
        <v>2</v>
      </c>
      <c r="J13" s="8"/>
      <c r="K13" s="8">
        <v>237</v>
      </c>
      <c r="L13" s="8">
        <v>201</v>
      </c>
      <c r="M13" s="8">
        <v>200</v>
      </c>
      <c r="N13" s="4" t="str">
        <f t="shared" ca="1" si="0"/>
        <v>10M2</v>
      </c>
    </row>
    <row r="14" spans="1:14">
      <c r="A14" s="8" t="s">
        <v>554</v>
      </c>
      <c r="B14" s="8" t="s">
        <v>156</v>
      </c>
      <c r="C14" s="8">
        <v>100</v>
      </c>
      <c r="D14" s="8">
        <v>1</v>
      </c>
      <c r="E14" s="8"/>
      <c r="F14" s="8">
        <v>150</v>
      </c>
      <c r="G14" s="8"/>
      <c r="H14" s="8">
        <v>0</v>
      </c>
      <c r="I14" s="8">
        <v>2</v>
      </c>
      <c r="J14" s="8"/>
      <c r="K14" s="8">
        <v>45</v>
      </c>
      <c r="L14" s="8"/>
      <c r="M14" s="8">
        <v>23</v>
      </c>
      <c r="N14" s="4" t="str">
        <f t="shared" ca="1" si="0"/>
        <v>10M2</v>
      </c>
    </row>
    <row r="15" spans="1:14">
      <c r="A15" s="4" t="s">
        <v>555</v>
      </c>
      <c r="B15" s="3" t="s">
        <v>27</v>
      </c>
      <c r="C15" s="4">
        <v>5</v>
      </c>
      <c r="D15" s="4">
        <v>1</v>
      </c>
      <c r="E15" s="4"/>
      <c r="F15" s="3">
        <v>250</v>
      </c>
      <c r="G15" s="4"/>
      <c r="H15" s="4">
        <v>1</v>
      </c>
      <c r="I15" s="4">
        <v>3</v>
      </c>
      <c r="J15" s="4"/>
      <c r="K15" s="4">
        <v>428</v>
      </c>
      <c r="L15" s="4">
        <v>400</v>
      </c>
      <c r="M15" s="4">
        <v>372</v>
      </c>
      <c r="N15" s="4" t="str">
        <f t="shared" ca="1" si="0"/>
        <v>10AP1</v>
      </c>
    </row>
    <row r="16" spans="1:14">
      <c r="A16" s="4" t="s">
        <v>556</v>
      </c>
      <c r="B16" s="3" t="str">
        <f t="shared" ref="B16:B21" si="1">B15</f>
        <v>AP1</v>
      </c>
      <c r="C16" s="4">
        <v>10</v>
      </c>
      <c r="D16" s="4">
        <v>1</v>
      </c>
      <c r="E16" s="4">
        <v>2</v>
      </c>
      <c r="F16" s="3">
        <f>F15</f>
        <v>250</v>
      </c>
      <c r="G16" s="4"/>
      <c r="H16" s="4">
        <v>1</v>
      </c>
      <c r="I16" s="4">
        <v>3</v>
      </c>
      <c r="J16" s="4"/>
      <c r="K16" s="4">
        <v>237</v>
      </c>
      <c r="L16" s="4">
        <v>201</v>
      </c>
      <c r="M16" s="4">
        <v>188</v>
      </c>
      <c r="N16" s="4" t="str">
        <f t="shared" ca="1" si="0"/>
        <v>10AP1</v>
      </c>
    </row>
    <row r="17" spans="1:14">
      <c r="A17" s="4" t="s">
        <v>557</v>
      </c>
      <c r="B17" s="3" t="str">
        <f t="shared" si="1"/>
        <v>AP1</v>
      </c>
      <c r="C17" s="4">
        <v>40</v>
      </c>
      <c r="D17" s="4">
        <v>1</v>
      </c>
      <c r="E17" s="4"/>
      <c r="F17" s="3">
        <f>F16</f>
        <v>250</v>
      </c>
      <c r="G17" s="4" t="s">
        <v>558</v>
      </c>
      <c r="H17" s="4">
        <v>1</v>
      </c>
      <c r="I17" s="4">
        <v>3</v>
      </c>
      <c r="J17" s="4"/>
      <c r="K17" s="4">
        <v>77</v>
      </c>
      <c r="L17" s="4">
        <v>56</v>
      </c>
      <c r="M17" s="4">
        <v>47</v>
      </c>
      <c r="N17" s="4" t="str">
        <f t="shared" ca="1" si="0"/>
        <v>10AP1</v>
      </c>
    </row>
    <row r="18" spans="1:14">
      <c r="A18" s="4" t="s">
        <v>559</v>
      </c>
      <c r="B18" s="3" t="str">
        <f t="shared" si="1"/>
        <v>AP1</v>
      </c>
      <c r="C18" s="4">
        <v>20</v>
      </c>
      <c r="D18" s="4">
        <v>1</v>
      </c>
      <c r="E18" s="4"/>
      <c r="F18" s="3">
        <f>F17</f>
        <v>250</v>
      </c>
      <c r="G18" s="4"/>
      <c r="H18" s="4">
        <v>1</v>
      </c>
      <c r="I18" s="4">
        <v>3</v>
      </c>
      <c r="J18" s="4"/>
      <c r="K18" s="4">
        <v>109</v>
      </c>
      <c r="L18" s="4">
        <v>102</v>
      </c>
      <c r="M18" s="4">
        <v>94</v>
      </c>
      <c r="N18" s="4" t="str">
        <f t="shared" ca="1" si="0"/>
        <v>10AP1</v>
      </c>
    </row>
    <row r="19" spans="1:14">
      <c r="A19" s="4" t="s">
        <v>560</v>
      </c>
      <c r="B19" s="3" t="str">
        <f t="shared" si="1"/>
        <v>AP1</v>
      </c>
      <c r="C19" s="4">
        <v>30</v>
      </c>
      <c r="D19" s="4">
        <v>1</v>
      </c>
      <c r="E19" s="4"/>
      <c r="F19" s="3">
        <f>F18</f>
        <v>250</v>
      </c>
      <c r="G19" s="9"/>
      <c r="H19" s="4">
        <v>1</v>
      </c>
      <c r="I19" s="4">
        <v>3</v>
      </c>
      <c r="J19" s="4"/>
      <c r="K19" s="4">
        <v>77</v>
      </c>
      <c r="L19" s="4">
        <v>66</v>
      </c>
      <c r="M19" s="4">
        <v>55</v>
      </c>
      <c r="N19" s="4" t="str">
        <f t="shared" ca="1" si="0"/>
        <v>10AP1</v>
      </c>
    </row>
    <row r="20" spans="1:14">
      <c r="A20" s="4" t="s">
        <v>561</v>
      </c>
      <c r="B20" s="3" t="str">
        <f t="shared" si="1"/>
        <v>AP1</v>
      </c>
      <c r="C20" s="4">
        <v>5</v>
      </c>
      <c r="D20" s="4">
        <v>1</v>
      </c>
      <c r="E20" s="4"/>
      <c r="F20" s="3">
        <f>F19</f>
        <v>250</v>
      </c>
      <c r="G20" s="9"/>
      <c r="H20" s="4">
        <v>2</v>
      </c>
      <c r="I20" s="4">
        <v>3</v>
      </c>
      <c r="J20" s="4"/>
      <c r="K20" s="4">
        <v>428</v>
      </c>
      <c r="L20" s="4">
        <v>399</v>
      </c>
      <c r="M20" s="4">
        <v>371</v>
      </c>
      <c r="N20" s="4" t="str">
        <f t="shared" ca="1" si="0"/>
        <v>10AP1</v>
      </c>
    </row>
    <row r="21" spans="1:14">
      <c r="A21" s="4" t="s">
        <v>562</v>
      </c>
      <c r="B21" s="3" t="str">
        <f t="shared" si="1"/>
        <v>AP1</v>
      </c>
      <c r="C21" s="4">
        <v>100</v>
      </c>
      <c r="D21" s="4">
        <v>1</v>
      </c>
      <c r="E21" s="4"/>
      <c r="F21" s="4">
        <v>250</v>
      </c>
      <c r="G21" s="4"/>
      <c r="H21" s="4">
        <v>0</v>
      </c>
      <c r="I21" s="4">
        <v>3</v>
      </c>
      <c r="J21" s="4"/>
      <c r="K21" s="4">
        <v>44</v>
      </c>
      <c r="L21" s="4">
        <v>32</v>
      </c>
      <c r="M21" s="4">
        <v>21</v>
      </c>
      <c r="N21" s="4" t="str">
        <f t="shared" ca="1" si="0"/>
        <v>10AP1</v>
      </c>
    </row>
    <row r="22" spans="1:14">
      <c r="A22" s="8" t="s">
        <v>563</v>
      </c>
      <c r="B22" s="8" t="s">
        <v>17</v>
      </c>
      <c r="C22" s="8">
        <v>40</v>
      </c>
      <c r="D22" s="8">
        <v>1</v>
      </c>
      <c r="E22" s="8"/>
      <c r="F22" s="8">
        <v>250</v>
      </c>
      <c r="G22" s="8"/>
      <c r="H22" s="8">
        <v>1</v>
      </c>
      <c r="I22" s="8">
        <v>4</v>
      </c>
      <c r="J22" s="8"/>
      <c r="K22" s="8">
        <v>77</v>
      </c>
      <c r="L22" s="8">
        <v>57</v>
      </c>
      <c r="M22" s="8">
        <v>48</v>
      </c>
      <c r="N22" s="4" t="str">
        <f t="shared" ca="1" si="0"/>
        <v>10AP2</v>
      </c>
    </row>
    <row r="23" spans="1:14">
      <c r="A23" s="8" t="s">
        <v>564</v>
      </c>
      <c r="B23" s="8" t="str">
        <f t="shared" ref="B23:B28" si="2">B22</f>
        <v>AP2</v>
      </c>
      <c r="C23" s="8">
        <v>20</v>
      </c>
      <c r="D23" s="8">
        <v>1</v>
      </c>
      <c r="E23" s="8"/>
      <c r="F23" s="8">
        <f t="shared" ref="F23:F28" si="3">F22</f>
        <v>250</v>
      </c>
      <c r="G23" s="8"/>
      <c r="H23" s="8">
        <v>1</v>
      </c>
      <c r="I23" s="8">
        <v>4</v>
      </c>
      <c r="J23" s="8"/>
      <c r="K23" s="8">
        <v>109</v>
      </c>
      <c r="L23" s="8">
        <v>102</v>
      </c>
      <c r="M23" s="8">
        <v>83</v>
      </c>
      <c r="N23" s="4" t="str">
        <f t="shared" ca="1" si="0"/>
        <v>10AP2</v>
      </c>
    </row>
    <row r="24" spans="1:14">
      <c r="A24" s="8" t="s">
        <v>565</v>
      </c>
      <c r="B24" s="8" t="str">
        <f t="shared" si="2"/>
        <v>AP2</v>
      </c>
      <c r="C24" s="8">
        <v>5</v>
      </c>
      <c r="D24" s="8">
        <v>0</v>
      </c>
      <c r="E24" s="8"/>
      <c r="F24" s="8">
        <f t="shared" si="3"/>
        <v>250</v>
      </c>
      <c r="G24" s="8" t="s">
        <v>444</v>
      </c>
      <c r="H24" s="8">
        <v>1</v>
      </c>
      <c r="I24" s="8">
        <v>4</v>
      </c>
      <c r="J24" s="8"/>
      <c r="K24" s="8">
        <v>428</v>
      </c>
      <c r="L24" s="8">
        <v>400</v>
      </c>
      <c r="M24" s="8">
        <v>407</v>
      </c>
      <c r="N24" s="4" t="str">
        <f t="shared" ca="1" si="0"/>
        <v>10AP2</v>
      </c>
    </row>
    <row r="25" spans="1:14">
      <c r="A25" s="8" t="s">
        <v>566</v>
      </c>
      <c r="B25" s="8" t="str">
        <f t="shared" si="2"/>
        <v>AP2</v>
      </c>
      <c r="C25" s="8">
        <v>10</v>
      </c>
      <c r="D25" s="8">
        <v>0</v>
      </c>
      <c r="E25" s="8"/>
      <c r="F25" s="8">
        <f t="shared" si="3"/>
        <v>250</v>
      </c>
      <c r="G25" s="8" t="s">
        <v>567</v>
      </c>
      <c r="H25" s="8">
        <v>1</v>
      </c>
      <c r="I25" s="8">
        <v>4</v>
      </c>
      <c r="J25" s="8"/>
      <c r="K25" s="8">
        <v>237</v>
      </c>
      <c r="L25" s="8">
        <v>201</v>
      </c>
      <c r="M25" s="8">
        <v>208</v>
      </c>
      <c r="N25" s="4" t="str">
        <f t="shared" ca="1" si="0"/>
        <v>10AP2</v>
      </c>
    </row>
    <row r="26" spans="1:14">
      <c r="A26" s="8" t="s">
        <v>568</v>
      </c>
      <c r="B26" s="8" t="str">
        <f t="shared" si="2"/>
        <v>AP2</v>
      </c>
      <c r="C26" s="8">
        <v>30</v>
      </c>
      <c r="D26" s="8">
        <v>1</v>
      </c>
      <c r="E26" s="8"/>
      <c r="F26" s="8">
        <f t="shared" si="3"/>
        <v>250</v>
      </c>
      <c r="G26" s="8"/>
      <c r="H26" s="8">
        <v>1</v>
      </c>
      <c r="I26" s="8">
        <v>4</v>
      </c>
      <c r="J26" s="8"/>
      <c r="K26" s="8">
        <v>77</v>
      </c>
      <c r="L26" s="8">
        <v>71</v>
      </c>
      <c r="M26" s="8">
        <v>46</v>
      </c>
      <c r="N26" s="4" t="str">
        <f t="shared" ca="1" si="0"/>
        <v>10AP2</v>
      </c>
    </row>
    <row r="27" spans="1:14">
      <c r="A27" s="8" t="s">
        <v>569</v>
      </c>
      <c r="B27" s="8" t="str">
        <f t="shared" si="2"/>
        <v>AP2</v>
      </c>
      <c r="C27" s="8">
        <v>40</v>
      </c>
      <c r="D27" s="8">
        <v>1</v>
      </c>
      <c r="E27" s="8"/>
      <c r="F27" s="8">
        <f t="shared" si="3"/>
        <v>250</v>
      </c>
      <c r="G27" s="8" t="s">
        <v>570</v>
      </c>
      <c r="H27" s="8">
        <v>2</v>
      </c>
      <c r="I27" s="8">
        <v>4</v>
      </c>
      <c r="J27" s="8"/>
      <c r="K27" s="8">
        <v>77</v>
      </c>
      <c r="L27" s="8">
        <v>57</v>
      </c>
      <c r="M27" s="8">
        <v>41</v>
      </c>
      <c r="N27" s="4" t="str">
        <f t="shared" ca="1" si="0"/>
        <v>10AP2</v>
      </c>
    </row>
    <row r="28" spans="1:14">
      <c r="A28" s="8" t="s">
        <v>571</v>
      </c>
      <c r="B28" s="8" t="str">
        <f t="shared" si="2"/>
        <v>AP2</v>
      </c>
      <c r="C28" s="8">
        <v>100</v>
      </c>
      <c r="D28" s="8">
        <v>1</v>
      </c>
      <c r="E28" s="8"/>
      <c r="F28" s="8">
        <f t="shared" si="3"/>
        <v>250</v>
      </c>
      <c r="G28" s="8"/>
      <c r="H28" s="8">
        <v>0</v>
      </c>
      <c r="I28" s="8">
        <v>4</v>
      </c>
      <c r="J28" s="8"/>
      <c r="K28" s="8">
        <v>44</v>
      </c>
      <c r="L28" s="8">
        <v>31</v>
      </c>
      <c r="M28" s="8">
        <v>25</v>
      </c>
      <c r="N28" s="4" t="str">
        <f t="shared" ca="1" si="0"/>
        <v>10AP2</v>
      </c>
    </row>
    <row r="29" spans="1:14">
      <c r="A29" s="4" t="s">
        <v>572</v>
      </c>
      <c r="B29" s="4" t="s">
        <v>39</v>
      </c>
      <c r="C29" s="4">
        <v>5</v>
      </c>
      <c r="D29" s="4">
        <v>0</v>
      </c>
      <c r="E29" s="4"/>
      <c r="F29" s="4">
        <v>250</v>
      </c>
      <c r="G29" s="4"/>
      <c r="H29" s="4">
        <v>1</v>
      </c>
      <c r="I29" s="4">
        <v>5</v>
      </c>
      <c r="J29" s="4"/>
      <c r="K29" s="4">
        <v>428</v>
      </c>
      <c r="L29" s="4">
        <v>400</v>
      </c>
      <c r="M29" s="4">
        <v>401</v>
      </c>
      <c r="N29" s="4" t="str">
        <f t="shared" ca="1" si="0"/>
        <v>10AP3</v>
      </c>
    </row>
    <row r="30" spans="1:14">
      <c r="A30" s="4" t="s">
        <v>573</v>
      </c>
      <c r="B30" s="4" t="str">
        <f t="shared" ref="B30:B39" si="4">B29</f>
        <v>AP3</v>
      </c>
      <c r="C30" s="4">
        <v>10</v>
      </c>
      <c r="D30" s="4">
        <v>1</v>
      </c>
      <c r="E30" s="4"/>
      <c r="F30" s="4">
        <f t="shared" ref="F30:F39" si="5">F29</f>
        <v>250</v>
      </c>
      <c r="G30" s="4"/>
      <c r="H30" s="4">
        <v>1</v>
      </c>
      <c r="I30" s="4">
        <v>5</v>
      </c>
      <c r="J30" s="4"/>
      <c r="K30" s="4">
        <v>237</v>
      </c>
      <c r="L30" s="4">
        <v>200</v>
      </c>
      <c r="M30" s="4">
        <v>190</v>
      </c>
      <c r="N30" s="4" t="str">
        <f t="shared" ca="1" si="0"/>
        <v>10AP3</v>
      </c>
    </row>
    <row r="31" spans="1:14">
      <c r="A31" s="4" t="s">
        <v>574</v>
      </c>
      <c r="B31" s="4" t="str">
        <f t="shared" si="4"/>
        <v>AP3</v>
      </c>
      <c r="C31" s="4">
        <v>20</v>
      </c>
      <c r="D31" s="4">
        <v>1</v>
      </c>
      <c r="E31" s="4"/>
      <c r="F31" s="4">
        <f t="shared" si="5"/>
        <v>250</v>
      </c>
      <c r="G31" s="4" t="s">
        <v>575</v>
      </c>
      <c r="H31" s="4">
        <v>1</v>
      </c>
      <c r="I31" s="4">
        <v>5</v>
      </c>
      <c r="J31" s="4"/>
      <c r="K31" s="4">
        <v>109</v>
      </c>
      <c r="L31" s="4">
        <v>101</v>
      </c>
      <c r="M31" s="4">
        <v>100</v>
      </c>
      <c r="N31" s="4" t="str">
        <f t="shared" ca="1" si="0"/>
        <v>10AP3</v>
      </c>
    </row>
    <row r="32" spans="1:14">
      <c r="A32" s="4" t="s">
        <v>576</v>
      </c>
      <c r="B32" s="4" t="str">
        <f t="shared" si="4"/>
        <v>AP3</v>
      </c>
      <c r="C32" s="4">
        <v>40</v>
      </c>
      <c r="D32" s="4">
        <v>0</v>
      </c>
      <c r="E32" s="4"/>
      <c r="F32" s="4">
        <f t="shared" si="5"/>
        <v>250</v>
      </c>
      <c r="G32" s="4"/>
      <c r="H32" s="4">
        <v>1</v>
      </c>
      <c r="I32" s="4">
        <v>5</v>
      </c>
      <c r="J32" s="4"/>
      <c r="K32" s="4">
        <v>76</v>
      </c>
      <c r="L32" s="4">
        <v>56</v>
      </c>
      <c r="M32" s="4">
        <v>61</v>
      </c>
      <c r="N32" s="4" t="str">
        <f t="shared" ca="1" si="0"/>
        <v>10AP3</v>
      </c>
    </row>
    <row r="33" spans="1:14">
      <c r="A33" s="4" t="s">
        <v>577</v>
      </c>
      <c r="B33" s="4" t="str">
        <f t="shared" si="4"/>
        <v>AP3</v>
      </c>
      <c r="C33" s="4">
        <v>30</v>
      </c>
      <c r="D33" s="4">
        <v>1</v>
      </c>
      <c r="E33" s="4"/>
      <c r="F33" s="4">
        <f t="shared" si="5"/>
        <v>250</v>
      </c>
      <c r="G33" s="4"/>
      <c r="H33" s="4">
        <v>1</v>
      </c>
      <c r="I33" s="4">
        <v>5</v>
      </c>
      <c r="J33" s="4"/>
      <c r="K33" s="4">
        <v>76</v>
      </c>
      <c r="L33" s="4">
        <v>68</v>
      </c>
      <c r="M33" s="4">
        <v>65</v>
      </c>
      <c r="N33" s="4" t="str">
        <f t="shared" ca="1" si="0"/>
        <v>10AP3</v>
      </c>
    </row>
    <row r="34" spans="1:14">
      <c r="A34" s="4" t="s">
        <v>578</v>
      </c>
      <c r="B34" s="4" t="str">
        <f t="shared" si="4"/>
        <v>AP3</v>
      </c>
      <c r="C34" s="4">
        <v>5</v>
      </c>
      <c r="D34" s="4">
        <v>1</v>
      </c>
      <c r="E34" s="4"/>
      <c r="F34" s="4">
        <f t="shared" si="5"/>
        <v>250</v>
      </c>
      <c r="G34" s="4"/>
      <c r="H34" s="4">
        <v>2</v>
      </c>
      <c r="I34" s="4">
        <v>5</v>
      </c>
      <c r="J34" s="4"/>
      <c r="K34" s="4">
        <v>428</v>
      </c>
      <c r="L34" s="4">
        <v>400</v>
      </c>
      <c r="M34" s="4">
        <v>338</v>
      </c>
      <c r="N34" s="4" t="str">
        <f t="shared" ca="1" si="0"/>
        <v>10AP3</v>
      </c>
    </row>
    <row r="35" spans="1:14">
      <c r="A35" s="4" t="s">
        <v>579</v>
      </c>
      <c r="B35" s="4" t="str">
        <f t="shared" si="4"/>
        <v>AP3</v>
      </c>
      <c r="C35" s="4">
        <v>2</v>
      </c>
      <c r="D35" s="4">
        <v>1</v>
      </c>
      <c r="E35" s="4"/>
      <c r="F35" s="4">
        <f t="shared" si="5"/>
        <v>250</v>
      </c>
      <c r="G35" s="4"/>
      <c r="H35" s="4">
        <v>0</v>
      </c>
      <c r="I35" s="4">
        <v>5</v>
      </c>
      <c r="J35" s="4"/>
      <c r="K35" s="4">
        <v>1036</v>
      </c>
      <c r="L35" s="4">
        <v>996</v>
      </c>
      <c r="M35" s="4">
        <v>948</v>
      </c>
      <c r="N35" s="4" t="str">
        <f t="shared" ca="1" si="0"/>
        <v>10AP3</v>
      </c>
    </row>
    <row r="36" spans="1:14">
      <c r="A36" s="4" t="s">
        <v>580</v>
      </c>
      <c r="B36" s="4" t="str">
        <f t="shared" si="4"/>
        <v>AP3</v>
      </c>
      <c r="C36" s="4">
        <v>20</v>
      </c>
      <c r="D36" s="4">
        <v>0</v>
      </c>
      <c r="E36" s="4"/>
      <c r="F36" s="4">
        <f t="shared" si="5"/>
        <v>250</v>
      </c>
      <c r="G36" s="4"/>
      <c r="H36" s="4">
        <v>0</v>
      </c>
      <c r="I36" s="4">
        <v>5</v>
      </c>
      <c r="J36" s="4"/>
      <c r="K36" s="4">
        <v>-1</v>
      </c>
      <c r="L36" s="4">
        <v>-1</v>
      </c>
      <c r="M36" s="4">
        <v>-1</v>
      </c>
      <c r="N36" s="4" t="str">
        <f t="shared" ca="1" si="0"/>
        <v>10AP3</v>
      </c>
    </row>
    <row r="37" spans="1:14">
      <c r="A37" s="4" t="s">
        <v>581</v>
      </c>
      <c r="B37" s="4" t="str">
        <f t="shared" si="4"/>
        <v>AP3</v>
      </c>
      <c r="C37" s="4">
        <v>10</v>
      </c>
      <c r="D37" s="4">
        <v>0</v>
      </c>
      <c r="E37" s="4"/>
      <c r="F37" s="4">
        <f t="shared" si="5"/>
        <v>250</v>
      </c>
      <c r="G37" s="4"/>
      <c r="H37" s="4">
        <v>0</v>
      </c>
      <c r="I37" s="4">
        <v>5</v>
      </c>
      <c r="J37" s="4"/>
      <c r="K37" s="4">
        <v>-1</v>
      </c>
      <c r="L37" s="4">
        <v>-1</v>
      </c>
      <c r="M37" s="4">
        <v>-1</v>
      </c>
      <c r="N37" s="4" t="str">
        <f t="shared" ca="1" si="0"/>
        <v>10AP3</v>
      </c>
    </row>
    <row r="38" spans="1:14">
      <c r="A38" s="4" t="s">
        <v>582</v>
      </c>
      <c r="B38" s="4" t="str">
        <f t="shared" si="4"/>
        <v>AP3</v>
      </c>
      <c r="C38" s="4">
        <v>5</v>
      </c>
      <c r="D38" s="4">
        <v>0</v>
      </c>
      <c r="E38" s="4"/>
      <c r="F38" s="4">
        <f t="shared" si="5"/>
        <v>250</v>
      </c>
      <c r="G38" s="4"/>
      <c r="H38" s="4">
        <v>0</v>
      </c>
      <c r="I38" s="4">
        <v>5</v>
      </c>
      <c r="J38" s="4"/>
      <c r="K38" s="4">
        <v>-1</v>
      </c>
      <c r="L38" s="4">
        <v>-1</v>
      </c>
      <c r="M38" s="4">
        <v>-1</v>
      </c>
      <c r="N38" s="4" t="str">
        <f t="shared" ca="1" si="0"/>
        <v>10AP3</v>
      </c>
    </row>
    <row r="39" spans="1:14">
      <c r="A39" s="4" t="s">
        <v>583</v>
      </c>
      <c r="B39" s="4" t="str">
        <f t="shared" si="4"/>
        <v>AP3</v>
      </c>
      <c r="C39" s="4">
        <v>100</v>
      </c>
      <c r="D39" s="4">
        <v>0</v>
      </c>
      <c r="E39" s="4"/>
      <c r="F39" s="4">
        <f t="shared" si="5"/>
        <v>250</v>
      </c>
      <c r="G39" s="4"/>
      <c r="H39" s="4">
        <v>0</v>
      </c>
      <c r="I39" s="4">
        <v>5</v>
      </c>
      <c r="J39" s="4"/>
      <c r="K39" s="4">
        <v>-1</v>
      </c>
      <c r="L39" s="4">
        <v>-1</v>
      </c>
      <c r="M39" s="4">
        <v>-1</v>
      </c>
      <c r="N39" s="4" t="str">
        <f t="shared" ca="1" si="0"/>
        <v>10AP3</v>
      </c>
    </row>
    <row r="40" spans="1:14">
      <c r="A40" s="8" t="s">
        <v>584</v>
      </c>
      <c r="B40" s="8" t="s">
        <v>41</v>
      </c>
      <c r="C40" s="8">
        <v>5</v>
      </c>
      <c r="D40" s="8">
        <v>0</v>
      </c>
      <c r="E40" s="8">
        <v>0</v>
      </c>
      <c r="F40" s="8">
        <v>75</v>
      </c>
      <c r="G40" s="8"/>
      <c r="H40" s="8">
        <v>1</v>
      </c>
      <c r="I40" s="8">
        <v>6</v>
      </c>
      <c r="J40" s="8"/>
      <c r="K40" s="8">
        <v>428</v>
      </c>
      <c r="L40" s="8">
        <v>400</v>
      </c>
      <c r="M40" s="8">
        <v>9999</v>
      </c>
      <c r="N40" s="4" t="str">
        <f t="shared" ca="1" si="0"/>
        <v>10AP4</v>
      </c>
    </row>
    <row r="41" spans="1:14">
      <c r="A41" s="8" t="s">
        <v>585</v>
      </c>
      <c r="B41" s="8" t="str">
        <f>B40</f>
        <v>AP4</v>
      </c>
      <c r="C41" s="8">
        <v>40</v>
      </c>
      <c r="D41" s="8">
        <v>0</v>
      </c>
      <c r="E41" s="8">
        <v>1</v>
      </c>
      <c r="F41" s="8">
        <f>F40</f>
        <v>75</v>
      </c>
      <c r="G41" s="8"/>
      <c r="H41" s="8">
        <v>1</v>
      </c>
      <c r="I41" s="8">
        <v>6</v>
      </c>
      <c r="J41" s="8"/>
      <c r="K41" s="8">
        <v>77</v>
      </c>
      <c r="L41" s="8">
        <v>57</v>
      </c>
      <c r="M41" s="8">
        <v>64</v>
      </c>
      <c r="N41" s="4" t="str">
        <f t="shared" ca="1" si="0"/>
        <v>10AP4</v>
      </c>
    </row>
    <row r="42" spans="1:14">
      <c r="A42" s="8" t="s">
        <v>586</v>
      </c>
      <c r="B42" s="8" t="str">
        <f>B41</f>
        <v>AP4</v>
      </c>
      <c r="C42" s="8">
        <v>10</v>
      </c>
      <c r="D42" s="8">
        <v>0</v>
      </c>
      <c r="E42" s="8">
        <v>1</v>
      </c>
      <c r="F42" s="8">
        <f>F41</f>
        <v>75</v>
      </c>
      <c r="G42" s="8"/>
      <c r="H42" s="8">
        <v>1</v>
      </c>
      <c r="I42" s="8">
        <v>6</v>
      </c>
      <c r="J42" s="8"/>
      <c r="K42" s="8">
        <v>236</v>
      </c>
      <c r="L42" s="8">
        <v>200</v>
      </c>
      <c r="M42" s="8">
        <v>220</v>
      </c>
      <c r="N42" s="4" t="str">
        <f t="shared" ca="1" si="0"/>
        <v>10AP4</v>
      </c>
    </row>
    <row r="43" spans="1:14">
      <c r="A43" s="8" t="s">
        <v>587</v>
      </c>
      <c r="B43" s="8" t="str">
        <f>B42</f>
        <v>AP4</v>
      </c>
      <c r="C43" s="8">
        <v>20</v>
      </c>
      <c r="D43" s="8">
        <v>0</v>
      </c>
      <c r="E43" s="8"/>
      <c r="F43" s="8">
        <f>F42</f>
        <v>75</v>
      </c>
      <c r="G43" s="8"/>
      <c r="H43" s="8">
        <v>1</v>
      </c>
      <c r="I43" s="8">
        <v>6</v>
      </c>
      <c r="J43" s="8"/>
      <c r="K43" s="8">
        <v>109</v>
      </c>
      <c r="L43" s="8">
        <v>102</v>
      </c>
      <c r="M43" s="8">
        <v>107</v>
      </c>
      <c r="N43" s="4" t="str">
        <f t="shared" ca="1" si="0"/>
        <v>10AP4</v>
      </c>
    </row>
    <row r="44" spans="1:14">
      <c r="A44" s="8" t="s">
        <v>588</v>
      </c>
      <c r="B44" s="8" t="str">
        <f>B43</f>
        <v>AP4</v>
      </c>
      <c r="C44" s="8">
        <v>30</v>
      </c>
      <c r="D44" s="8">
        <v>0</v>
      </c>
      <c r="E44" s="8"/>
      <c r="F44" s="8">
        <f>F43</f>
        <v>75</v>
      </c>
      <c r="G44" s="8"/>
      <c r="H44" s="8">
        <v>1</v>
      </c>
      <c r="I44" s="8">
        <v>6</v>
      </c>
      <c r="J44" s="8"/>
      <c r="K44" s="8">
        <v>77</v>
      </c>
      <c r="L44" s="8">
        <v>71</v>
      </c>
      <c r="M44" s="8">
        <v>79</v>
      </c>
      <c r="N44" s="4" t="str">
        <f t="shared" ca="1" si="0"/>
        <v>10AP4</v>
      </c>
    </row>
    <row r="45" spans="1:14">
      <c r="A45" s="8" t="s">
        <v>589</v>
      </c>
      <c r="B45" s="8" t="str">
        <f>B44</f>
        <v>AP4</v>
      </c>
      <c r="C45" s="8">
        <v>5</v>
      </c>
      <c r="D45" s="8">
        <v>0</v>
      </c>
      <c r="E45" s="8"/>
      <c r="F45" s="8">
        <f>F44</f>
        <v>75</v>
      </c>
      <c r="G45" s="8"/>
      <c r="H45" s="8">
        <v>2</v>
      </c>
      <c r="I45" s="8">
        <v>6</v>
      </c>
      <c r="J45" s="8"/>
      <c r="K45" s="8">
        <v>428</v>
      </c>
      <c r="L45" s="8">
        <v>400</v>
      </c>
      <c r="M45" s="8">
        <v>9999</v>
      </c>
      <c r="N45" s="4" t="str">
        <f t="shared" ca="1" si="0"/>
        <v>10AP4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7"/>
  <sheetViews>
    <sheetView topLeftCell="A11"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590</v>
      </c>
      <c r="B2" s="6" t="s">
        <v>27</v>
      </c>
      <c r="C2" s="6">
        <v>40</v>
      </c>
      <c r="D2" s="6">
        <v>1</v>
      </c>
      <c r="E2" s="6">
        <v>1</v>
      </c>
      <c r="F2" s="4">
        <v>250</v>
      </c>
      <c r="G2" s="4"/>
      <c r="H2" s="4">
        <v>1</v>
      </c>
      <c r="I2" s="4">
        <v>1</v>
      </c>
      <c r="J2" s="4">
        <f>MAX(I:I)</f>
        <v>4</v>
      </c>
      <c r="K2" s="4">
        <v>77</v>
      </c>
      <c r="L2" s="4"/>
      <c r="M2" s="4">
        <v>47</v>
      </c>
      <c r="N2" s="4" t="str">
        <f t="shared" ref="N2:N27" ca="1" si="0">_xlfn.CONCAT(_xlfn.SHEET(A1),B2)</f>
        <v>11AP1</v>
      </c>
    </row>
    <row r="3" spans="1:14">
      <c r="A3" s="5" t="s">
        <v>591</v>
      </c>
      <c r="B3" s="6" t="str">
        <f>B2</f>
        <v>AP1</v>
      </c>
      <c r="C3" s="6">
        <v>10</v>
      </c>
      <c r="D3" s="6">
        <v>1</v>
      </c>
      <c r="E3" s="6">
        <v>2</v>
      </c>
      <c r="F3" s="4">
        <v>250</v>
      </c>
      <c r="G3" s="4" t="s">
        <v>592</v>
      </c>
      <c r="H3" s="4">
        <v>1</v>
      </c>
      <c r="I3" s="4">
        <v>1</v>
      </c>
      <c r="J3" s="4"/>
      <c r="K3" s="4">
        <v>236</v>
      </c>
      <c r="L3" s="4"/>
      <c r="M3" s="4">
        <v>175</v>
      </c>
      <c r="N3" s="4" t="str">
        <f t="shared" ca="1" si="0"/>
        <v>11AP1</v>
      </c>
    </row>
    <row r="4" spans="1:14">
      <c r="A4" s="4" t="s">
        <v>593</v>
      </c>
      <c r="B4" s="6" t="str">
        <f>B3</f>
        <v>AP1</v>
      </c>
      <c r="C4" s="4">
        <v>5</v>
      </c>
      <c r="D4" s="4">
        <v>0</v>
      </c>
      <c r="E4" s="4"/>
      <c r="F4" s="4">
        <v>250</v>
      </c>
      <c r="G4" s="4"/>
      <c r="H4" s="4">
        <v>1</v>
      </c>
      <c r="I4" s="4">
        <v>1</v>
      </c>
      <c r="J4" s="4"/>
      <c r="K4" s="4">
        <v>428</v>
      </c>
      <c r="L4" s="4"/>
      <c r="M4" s="4">
        <v>401</v>
      </c>
      <c r="N4" s="4" t="str">
        <f t="shared" ca="1" si="0"/>
        <v>11AP1</v>
      </c>
    </row>
    <row r="5" spans="1:14">
      <c r="A5" s="4" t="s">
        <v>594</v>
      </c>
      <c r="B5" s="6" t="str">
        <f>B4</f>
        <v>AP1</v>
      </c>
      <c r="C5" s="4">
        <v>20</v>
      </c>
      <c r="D5" s="4">
        <v>1</v>
      </c>
      <c r="E5" s="4"/>
      <c r="F5" s="4">
        <v>250</v>
      </c>
      <c r="G5" s="4" t="s">
        <v>592</v>
      </c>
      <c r="H5" s="4">
        <v>1</v>
      </c>
      <c r="I5" s="4">
        <v>1</v>
      </c>
      <c r="J5" s="4"/>
      <c r="K5" s="4">
        <v>109</v>
      </c>
      <c r="L5" s="4"/>
      <c r="M5" s="4">
        <v>93</v>
      </c>
      <c r="N5" s="4" t="str">
        <f t="shared" ca="1" si="0"/>
        <v>11AP1</v>
      </c>
    </row>
    <row r="6" spans="1:14">
      <c r="A6" s="4" t="s">
        <v>595</v>
      </c>
      <c r="B6" s="6" t="str">
        <f>B5</f>
        <v>AP1</v>
      </c>
      <c r="C6" s="4">
        <v>30</v>
      </c>
      <c r="D6" s="4">
        <v>1</v>
      </c>
      <c r="E6" s="4"/>
      <c r="F6" s="4">
        <v>250</v>
      </c>
      <c r="G6" s="4"/>
      <c r="H6" s="4">
        <v>1</v>
      </c>
      <c r="I6" s="4">
        <v>1</v>
      </c>
      <c r="J6" s="4"/>
      <c r="K6" s="4">
        <v>76</v>
      </c>
      <c r="L6" s="4"/>
      <c r="M6" s="4">
        <v>49</v>
      </c>
      <c r="N6" s="4" t="str">
        <f t="shared" ca="1" si="0"/>
        <v>11AP1</v>
      </c>
    </row>
    <row r="7" spans="1:14">
      <c r="A7" s="4" t="s">
        <v>596</v>
      </c>
      <c r="B7" s="6" t="str">
        <f>B6</f>
        <v>AP1</v>
      </c>
      <c r="C7" s="4">
        <v>40</v>
      </c>
      <c r="D7" s="4">
        <v>1</v>
      </c>
      <c r="E7" s="4"/>
      <c r="F7" s="4">
        <v>250</v>
      </c>
      <c r="G7" s="4"/>
      <c r="H7" s="4">
        <v>2</v>
      </c>
      <c r="I7" s="4">
        <v>1</v>
      </c>
      <c r="J7" s="4"/>
      <c r="K7" s="4">
        <v>77</v>
      </c>
      <c r="L7" s="4"/>
      <c r="M7" s="4">
        <v>42</v>
      </c>
      <c r="N7" s="4" t="str">
        <f t="shared" ca="1" si="0"/>
        <v>11AP1</v>
      </c>
    </row>
    <row r="8" spans="1:14">
      <c r="A8" s="4" t="s">
        <v>597</v>
      </c>
      <c r="B8" s="6" t="str">
        <f>B6</f>
        <v>AP1</v>
      </c>
      <c r="C8" s="4">
        <v>100</v>
      </c>
      <c r="D8" s="4">
        <v>1</v>
      </c>
      <c r="E8" s="4"/>
      <c r="F8" s="4">
        <v>250</v>
      </c>
      <c r="G8" s="4"/>
      <c r="H8" s="4">
        <v>0</v>
      </c>
      <c r="I8" s="4">
        <v>1</v>
      </c>
      <c r="J8" s="4"/>
      <c r="K8" s="4">
        <v>45</v>
      </c>
      <c r="L8" s="4">
        <v>32</v>
      </c>
      <c r="M8" s="4">
        <v>18</v>
      </c>
      <c r="N8" s="4" t="str">
        <f t="shared" ca="1" si="0"/>
        <v>11AP1</v>
      </c>
    </row>
    <row r="9" spans="1:14">
      <c r="A9" s="7" t="s">
        <v>598</v>
      </c>
      <c r="B9" s="8" t="s">
        <v>17</v>
      </c>
      <c r="C9" s="7">
        <v>10</v>
      </c>
      <c r="D9" s="8">
        <v>1</v>
      </c>
      <c r="E9" s="8"/>
      <c r="F9" s="8">
        <v>250</v>
      </c>
      <c r="G9" s="7" t="s">
        <v>415</v>
      </c>
      <c r="H9" s="8">
        <v>1</v>
      </c>
      <c r="I9" s="8">
        <v>2</v>
      </c>
      <c r="J9" s="8"/>
      <c r="K9" s="8">
        <v>237</v>
      </c>
      <c r="L9" s="8">
        <v>201</v>
      </c>
      <c r="M9" s="8">
        <v>178</v>
      </c>
      <c r="N9" s="4" t="str">
        <f t="shared" ca="1" si="0"/>
        <v>11AP2</v>
      </c>
    </row>
    <row r="10" spans="1:14">
      <c r="A10" s="7" t="s">
        <v>599</v>
      </c>
      <c r="B10" s="8" t="str">
        <f>B9</f>
        <v>AP2</v>
      </c>
      <c r="C10" s="7">
        <v>40</v>
      </c>
      <c r="D10" s="8">
        <v>1</v>
      </c>
      <c r="E10" s="8"/>
      <c r="F10" s="8">
        <f t="shared" ref="F10:F15" si="1">F9</f>
        <v>250</v>
      </c>
      <c r="G10" s="7"/>
      <c r="H10" s="8">
        <v>1</v>
      </c>
      <c r="I10" s="8">
        <v>2</v>
      </c>
      <c r="J10" s="8"/>
      <c r="K10" s="8">
        <v>77</v>
      </c>
      <c r="L10" s="8">
        <v>56</v>
      </c>
      <c r="M10" s="8">
        <v>41</v>
      </c>
      <c r="N10" s="4" t="str">
        <f t="shared" ca="1" si="0"/>
        <v>11AP2</v>
      </c>
    </row>
    <row r="11" spans="1:14">
      <c r="A11" s="7" t="s">
        <v>600</v>
      </c>
      <c r="B11" s="8" t="str">
        <f>B10</f>
        <v>AP2</v>
      </c>
      <c r="C11" s="7">
        <v>5</v>
      </c>
      <c r="D11" s="8">
        <v>1</v>
      </c>
      <c r="E11" s="8"/>
      <c r="F11" s="8">
        <f t="shared" si="1"/>
        <v>250</v>
      </c>
      <c r="G11" s="8"/>
      <c r="H11" s="8">
        <v>1</v>
      </c>
      <c r="I11" s="8">
        <v>2</v>
      </c>
      <c r="J11" s="8"/>
      <c r="K11" s="8">
        <v>428</v>
      </c>
      <c r="L11" s="8"/>
      <c r="M11" s="8">
        <v>326</v>
      </c>
      <c r="N11" s="4" t="str">
        <f t="shared" ca="1" si="0"/>
        <v>11AP2</v>
      </c>
    </row>
    <row r="12" spans="1:14">
      <c r="A12" s="7" t="s">
        <v>601</v>
      </c>
      <c r="B12" s="8" t="str">
        <f>B11</f>
        <v>AP2</v>
      </c>
      <c r="C12" s="7">
        <v>20</v>
      </c>
      <c r="D12" s="8">
        <v>1</v>
      </c>
      <c r="E12" s="8"/>
      <c r="F12" s="8">
        <f t="shared" si="1"/>
        <v>250</v>
      </c>
      <c r="G12" s="7"/>
      <c r="H12" s="8">
        <v>1</v>
      </c>
      <c r="I12" s="8">
        <v>2</v>
      </c>
      <c r="J12" s="8"/>
      <c r="K12" s="8">
        <v>108</v>
      </c>
      <c r="L12" s="8"/>
      <c r="M12" s="8">
        <v>49</v>
      </c>
      <c r="N12" s="4" t="str">
        <f t="shared" ca="1" si="0"/>
        <v>11AP2</v>
      </c>
    </row>
    <row r="13" spans="1:14">
      <c r="A13" s="7" t="s">
        <v>602</v>
      </c>
      <c r="B13" s="8" t="str">
        <f>B12</f>
        <v>AP2</v>
      </c>
      <c r="C13" s="7">
        <v>30</v>
      </c>
      <c r="D13" s="8">
        <v>1</v>
      </c>
      <c r="E13" s="8"/>
      <c r="F13" s="8">
        <f t="shared" si="1"/>
        <v>250</v>
      </c>
      <c r="G13" s="7"/>
      <c r="H13" s="8">
        <v>1</v>
      </c>
      <c r="I13" s="8">
        <v>2</v>
      </c>
      <c r="J13" s="8"/>
      <c r="K13" s="8">
        <v>76</v>
      </c>
      <c r="L13" s="8"/>
      <c r="M13" s="8">
        <v>51</v>
      </c>
      <c r="N13" s="4" t="str">
        <f t="shared" ca="1" si="0"/>
        <v>11AP2</v>
      </c>
    </row>
    <row r="14" spans="1:14">
      <c r="A14" s="7" t="s">
        <v>603</v>
      </c>
      <c r="B14" s="8" t="str">
        <f>B13</f>
        <v>AP2</v>
      </c>
      <c r="C14" s="7">
        <v>10</v>
      </c>
      <c r="D14" s="8">
        <v>1</v>
      </c>
      <c r="E14" s="8"/>
      <c r="F14" s="8">
        <f t="shared" si="1"/>
        <v>250</v>
      </c>
      <c r="G14" s="7"/>
      <c r="H14" s="8">
        <v>2</v>
      </c>
      <c r="I14" s="8">
        <v>2</v>
      </c>
      <c r="J14" s="8"/>
      <c r="K14" s="8">
        <v>236</v>
      </c>
      <c r="L14" s="8"/>
      <c r="M14" s="8">
        <v>177</v>
      </c>
      <c r="N14" s="4" t="str">
        <f t="shared" ca="1" si="0"/>
        <v>11AP2</v>
      </c>
    </row>
    <row r="15" spans="1:14">
      <c r="A15" s="7" t="s">
        <v>604</v>
      </c>
      <c r="B15" s="8" t="str">
        <f>B13</f>
        <v>AP2</v>
      </c>
      <c r="C15" s="7">
        <v>100</v>
      </c>
      <c r="D15" s="8">
        <v>1</v>
      </c>
      <c r="E15" s="8"/>
      <c r="F15" s="8">
        <f t="shared" si="1"/>
        <v>250</v>
      </c>
      <c r="G15" s="7"/>
      <c r="H15" s="8">
        <v>1</v>
      </c>
      <c r="I15" s="8">
        <v>2</v>
      </c>
      <c r="J15" s="8"/>
      <c r="K15" s="8">
        <v>45</v>
      </c>
      <c r="L15" s="8">
        <v>32</v>
      </c>
      <c r="M15" s="8">
        <v>20</v>
      </c>
      <c r="N15" s="4" t="str">
        <f t="shared" ca="1" si="0"/>
        <v>11AP2</v>
      </c>
    </row>
    <row r="16" spans="1:14">
      <c r="A16" s="4" t="s">
        <v>605</v>
      </c>
      <c r="B16" s="3" t="s">
        <v>39</v>
      </c>
      <c r="C16" s="4">
        <v>10</v>
      </c>
      <c r="D16" s="4">
        <v>0</v>
      </c>
      <c r="E16" s="4"/>
      <c r="F16" s="3">
        <v>75</v>
      </c>
      <c r="G16" s="4" t="s">
        <v>606</v>
      </c>
      <c r="H16" s="4">
        <v>1</v>
      </c>
      <c r="I16" s="4">
        <v>3</v>
      </c>
      <c r="J16" s="4"/>
      <c r="K16" s="4">
        <v>236</v>
      </c>
      <c r="L16" s="4"/>
      <c r="M16" s="4">
        <v>427</v>
      </c>
      <c r="N16" s="4" t="str">
        <f t="shared" ca="1" si="0"/>
        <v>11AP3</v>
      </c>
    </row>
    <row r="17" spans="1:14">
      <c r="A17" s="4" t="s">
        <v>607</v>
      </c>
      <c r="B17" s="3" t="str">
        <f>B16</f>
        <v>AP3</v>
      </c>
      <c r="C17" s="4">
        <v>5</v>
      </c>
      <c r="D17" s="4">
        <v>0</v>
      </c>
      <c r="E17" s="4"/>
      <c r="F17" s="3">
        <f>F16</f>
        <v>75</v>
      </c>
      <c r="G17" s="4"/>
      <c r="H17" s="4">
        <v>1</v>
      </c>
      <c r="I17" s="4">
        <v>3</v>
      </c>
      <c r="J17" s="4"/>
      <c r="K17" s="4">
        <v>428</v>
      </c>
      <c r="L17" s="4"/>
      <c r="M17" s="4">
        <v>9999</v>
      </c>
      <c r="N17" s="4" t="str">
        <f t="shared" ca="1" si="0"/>
        <v>11AP3</v>
      </c>
    </row>
    <row r="18" spans="1:14">
      <c r="A18" s="4" t="s">
        <v>608</v>
      </c>
      <c r="B18" s="3" t="str">
        <f>B17</f>
        <v>AP3</v>
      </c>
      <c r="C18" s="4">
        <v>20</v>
      </c>
      <c r="D18" s="4">
        <v>0</v>
      </c>
      <c r="E18" s="4"/>
      <c r="F18" s="3">
        <f>F17</f>
        <v>75</v>
      </c>
      <c r="G18" s="4"/>
      <c r="H18" s="4">
        <v>1</v>
      </c>
      <c r="I18" s="4">
        <v>3</v>
      </c>
      <c r="J18" s="4"/>
      <c r="K18" s="4">
        <v>108</v>
      </c>
      <c r="L18" s="4">
        <v>102</v>
      </c>
      <c r="M18" s="4">
        <v>109</v>
      </c>
      <c r="N18" s="4" t="str">
        <f t="shared" ca="1" si="0"/>
        <v>11AP3</v>
      </c>
    </row>
    <row r="19" spans="1:14">
      <c r="A19" s="4" t="s">
        <v>609</v>
      </c>
      <c r="B19" s="3" t="str">
        <f>B18</f>
        <v>AP3</v>
      </c>
      <c r="C19" s="4">
        <v>40</v>
      </c>
      <c r="D19" s="4">
        <v>1</v>
      </c>
      <c r="E19" s="4"/>
      <c r="F19" s="3">
        <f>F18</f>
        <v>75</v>
      </c>
      <c r="G19" s="4"/>
      <c r="H19" s="4">
        <v>1</v>
      </c>
      <c r="I19" s="4">
        <v>3</v>
      </c>
      <c r="J19" s="4"/>
      <c r="K19" s="4">
        <v>78</v>
      </c>
      <c r="L19" s="4"/>
      <c r="M19" s="4">
        <v>52</v>
      </c>
      <c r="N19" s="4" t="str">
        <f t="shared" ca="1" si="0"/>
        <v>11AP3</v>
      </c>
    </row>
    <row r="20" spans="1:14">
      <c r="A20" s="4" t="s">
        <v>610</v>
      </c>
      <c r="B20" s="3" t="str">
        <f>B19</f>
        <v>AP3</v>
      </c>
      <c r="C20" s="4">
        <v>30</v>
      </c>
      <c r="D20" s="4">
        <v>0</v>
      </c>
      <c r="E20" s="4"/>
      <c r="F20" s="3">
        <f>F19</f>
        <v>75</v>
      </c>
      <c r="G20" s="9"/>
      <c r="H20" s="4">
        <v>1</v>
      </c>
      <c r="I20" s="4">
        <v>3</v>
      </c>
      <c r="J20" s="4"/>
      <c r="K20" s="4">
        <v>76</v>
      </c>
      <c r="L20" s="4"/>
      <c r="M20" s="4">
        <v>72</v>
      </c>
      <c r="N20" s="4" t="str">
        <f t="shared" ca="1" si="0"/>
        <v>11AP3</v>
      </c>
    </row>
    <row r="21" spans="1:14">
      <c r="A21" s="4" t="s">
        <v>611</v>
      </c>
      <c r="B21" s="3" t="str">
        <f>B20</f>
        <v>AP3</v>
      </c>
      <c r="C21" s="4">
        <v>10</v>
      </c>
      <c r="D21" s="4">
        <v>0</v>
      </c>
      <c r="E21" s="4"/>
      <c r="F21" s="3">
        <f>F20</f>
        <v>75</v>
      </c>
      <c r="G21" s="4" t="s">
        <v>386</v>
      </c>
      <c r="H21" s="4">
        <v>2</v>
      </c>
      <c r="I21" s="4">
        <v>3</v>
      </c>
      <c r="J21" s="4"/>
      <c r="K21" s="4">
        <v>237</v>
      </c>
      <c r="L21" s="4"/>
      <c r="M21" s="4">
        <v>203</v>
      </c>
      <c r="N21" s="4" t="str">
        <f t="shared" ca="1" si="0"/>
        <v>11AP3</v>
      </c>
    </row>
    <row r="22" spans="1:14">
      <c r="A22" s="8" t="s">
        <v>612</v>
      </c>
      <c r="B22" s="8" t="s">
        <v>41</v>
      </c>
      <c r="C22" s="8">
        <v>20</v>
      </c>
      <c r="D22" s="8">
        <v>0</v>
      </c>
      <c r="E22" s="8">
        <v>1</v>
      </c>
      <c r="F22" s="8">
        <v>75</v>
      </c>
      <c r="G22" s="8"/>
      <c r="H22" s="8">
        <v>1</v>
      </c>
      <c r="I22" s="8">
        <v>4</v>
      </c>
      <c r="J22" s="8"/>
      <c r="K22" s="8">
        <v>109</v>
      </c>
      <c r="L22" s="8"/>
      <c r="M22" s="8">
        <v>111</v>
      </c>
      <c r="N22" s="4" t="str">
        <f t="shared" ca="1" si="0"/>
        <v>11AP4</v>
      </c>
    </row>
    <row r="23" spans="1:14">
      <c r="A23" s="8" t="s">
        <v>613</v>
      </c>
      <c r="B23" s="8" t="str">
        <f>B22</f>
        <v>AP4</v>
      </c>
      <c r="C23" s="8">
        <v>10</v>
      </c>
      <c r="D23" s="8">
        <v>0</v>
      </c>
      <c r="E23" s="8">
        <v>0</v>
      </c>
      <c r="F23" s="8">
        <f>F22</f>
        <v>75</v>
      </c>
      <c r="G23" s="8"/>
      <c r="H23" s="8">
        <v>1</v>
      </c>
      <c r="I23" s="8">
        <v>4</v>
      </c>
      <c r="J23" s="8"/>
      <c r="K23" s="8">
        <v>236</v>
      </c>
      <c r="L23" s="8"/>
      <c r="M23" s="8">
        <v>9999</v>
      </c>
      <c r="N23" s="4" t="str">
        <f t="shared" ca="1" si="0"/>
        <v>11AP4</v>
      </c>
    </row>
    <row r="24" spans="1:14">
      <c r="A24" s="8" t="s">
        <v>614</v>
      </c>
      <c r="B24" s="8" t="str">
        <f>B23</f>
        <v>AP4</v>
      </c>
      <c r="C24" s="8">
        <v>5</v>
      </c>
      <c r="D24" s="8">
        <v>0</v>
      </c>
      <c r="E24" s="8"/>
      <c r="F24" s="8">
        <f>F23</f>
        <v>75</v>
      </c>
      <c r="G24" s="8"/>
      <c r="H24" s="8">
        <v>1</v>
      </c>
      <c r="I24" s="8">
        <v>4</v>
      </c>
      <c r="J24" s="8"/>
      <c r="K24" s="8">
        <v>428</v>
      </c>
      <c r="L24" s="8"/>
      <c r="M24" s="8">
        <v>408</v>
      </c>
      <c r="N24" s="4" t="str">
        <f t="shared" ca="1" si="0"/>
        <v>11AP4</v>
      </c>
    </row>
    <row r="25" spans="1:14">
      <c r="A25" s="8" t="s">
        <v>615</v>
      </c>
      <c r="B25" s="8" t="str">
        <f>B24</f>
        <v>AP4</v>
      </c>
      <c r="C25" s="8">
        <v>40</v>
      </c>
      <c r="D25" s="8">
        <v>0</v>
      </c>
      <c r="E25" s="8"/>
      <c r="F25" s="8">
        <f>F24</f>
        <v>75</v>
      </c>
      <c r="G25" s="8"/>
      <c r="H25" s="8">
        <v>1</v>
      </c>
      <c r="I25" s="8">
        <v>4</v>
      </c>
      <c r="J25" s="8"/>
      <c r="K25" s="8">
        <v>76</v>
      </c>
      <c r="L25" s="8"/>
      <c r="M25" s="8">
        <v>90</v>
      </c>
      <c r="N25" s="4" t="str">
        <f t="shared" ca="1" si="0"/>
        <v>11AP4</v>
      </c>
    </row>
    <row r="26" spans="1:14">
      <c r="A26" s="8" t="s">
        <v>616</v>
      </c>
      <c r="B26" s="8" t="str">
        <f>B25</f>
        <v>AP4</v>
      </c>
      <c r="C26" s="8">
        <v>30</v>
      </c>
      <c r="D26" s="8">
        <v>0</v>
      </c>
      <c r="E26" s="8"/>
      <c r="F26" s="8">
        <f>F25</f>
        <v>75</v>
      </c>
      <c r="G26" s="8"/>
      <c r="H26" s="8">
        <v>1</v>
      </c>
      <c r="I26" s="8">
        <v>4</v>
      </c>
      <c r="J26" s="8"/>
      <c r="K26" s="8">
        <v>76</v>
      </c>
      <c r="L26" s="8"/>
      <c r="M26" s="8">
        <v>75</v>
      </c>
      <c r="N26" s="4" t="str">
        <f t="shared" ca="1" si="0"/>
        <v>11AP4</v>
      </c>
    </row>
    <row r="27" spans="1:14">
      <c r="A27" s="8" t="s">
        <v>617</v>
      </c>
      <c r="B27" s="8" t="str">
        <f>B26</f>
        <v>AP4</v>
      </c>
      <c r="C27" s="8">
        <v>20</v>
      </c>
      <c r="D27" s="8">
        <v>0</v>
      </c>
      <c r="E27" s="8"/>
      <c r="F27" s="8">
        <f>F26</f>
        <v>75</v>
      </c>
      <c r="G27" s="8" t="s">
        <v>618</v>
      </c>
      <c r="H27" s="8">
        <v>2</v>
      </c>
      <c r="I27" s="8">
        <v>4</v>
      </c>
      <c r="J27" s="8"/>
      <c r="K27" s="8">
        <v>110</v>
      </c>
      <c r="L27" s="8"/>
      <c r="M27" s="8">
        <v>105</v>
      </c>
      <c r="N27" s="4" t="str">
        <f t="shared" ca="1" si="0"/>
        <v>11AP4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3"/>
  <sheetViews>
    <sheetView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3.5976562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619</v>
      </c>
      <c r="B2" s="6" t="s">
        <v>27</v>
      </c>
      <c r="C2" s="5">
        <v>40</v>
      </c>
      <c r="D2" s="4">
        <v>0</v>
      </c>
      <c r="E2" s="4">
        <v>0</v>
      </c>
      <c r="F2" s="4">
        <v>75</v>
      </c>
      <c r="G2" s="5"/>
      <c r="H2" s="4">
        <v>1</v>
      </c>
      <c r="I2" s="4">
        <v>1</v>
      </c>
      <c r="J2" s="4">
        <f>MAX(I:I)</f>
        <v>2</v>
      </c>
      <c r="K2" s="4">
        <v>75</v>
      </c>
      <c r="L2" s="4"/>
      <c r="M2" s="4">
        <v>56</v>
      </c>
      <c r="N2" s="4" t="str">
        <f t="shared" ref="N2:N13" ca="1" si="0">_xlfn.CONCAT(_xlfn.SHEET(A1),B2)</f>
        <v>12AP1</v>
      </c>
    </row>
    <row r="3" spans="1:14">
      <c r="A3" s="5" t="s">
        <v>620</v>
      </c>
      <c r="B3" s="6" t="str">
        <f>B2</f>
        <v>AP1</v>
      </c>
      <c r="C3" s="6">
        <v>10</v>
      </c>
      <c r="D3" s="6">
        <v>0</v>
      </c>
      <c r="E3" s="6">
        <v>1</v>
      </c>
      <c r="F3" s="4">
        <f>F2</f>
        <v>75</v>
      </c>
      <c r="G3" s="4" t="s">
        <v>621</v>
      </c>
      <c r="H3" s="4">
        <v>1</v>
      </c>
      <c r="I3" s="4">
        <v>1</v>
      </c>
      <c r="J3" s="4"/>
      <c r="K3" s="4">
        <v>236</v>
      </c>
      <c r="L3" s="4"/>
      <c r="M3" s="4">
        <v>200</v>
      </c>
      <c r="N3" s="4" t="str">
        <f t="shared" ca="1" si="0"/>
        <v>12AP1</v>
      </c>
    </row>
    <row r="4" spans="1:14">
      <c r="A4" s="5" t="s">
        <v>622</v>
      </c>
      <c r="B4" s="6" t="str">
        <f>B3</f>
        <v>AP1</v>
      </c>
      <c r="C4" s="6">
        <v>20</v>
      </c>
      <c r="D4" s="6">
        <v>0</v>
      </c>
      <c r="E4" s="6">
        <v>1</v>
      </c>
      <c r="F4" s="4">
        <f>F3</f>
        <v>75</v>
      </c>
      <c r="G4" s="4"/>
      <c r="H4" s="4">
        <v>1</v>
      </c>
      <c r="I4" s="4">
        <v>1</v>
      </c>
      <c r="J4" s="4"/>
      <c r="K4" s="4">
        <v>109</v>
      </c>
      <c r="L4" s="4"/>
      <c r="M4" s="4">
        <v>112</v>
      </c>
      <c r="N4" s="4" t="str">
        <f t="shared" ca="1" si="0"/>
        <v>12AP1</v>
      </c>
    </row>
    <row r="5" spans="1:14">
      <c r="A5" s="4" t="s">
        <v>623</v>
      </c>
      <c r="B5" s="6" t="str">
        <f>B4</f>
        <v>AP1</v>
      </c>
      <c r="C5" s="4">
        <v>5</v>
      </c>
      <c r="D5" s="4">
        <v>0</v>
      </c>
      <c r="E5" s="4">
        <v>1</v>
      </c>
      <c r="F5" s="4">
        <f>F4</f>
        <v>75</v>
      </c>
      <c r="G5" s="4" t="s">
        <v>624</v>
      </c>
      <c r="H5" s="4">
        <v>1</v>
      </c>
      <c r="I5" s="4">
        <v>1</v>
      </c>
      <c r="J5" s="4"/>
      <c r="K5" s="4">
        <v>428</v>
      </c>
      <c r="L5" s="4"/>
      <c r="M5" s="4">
        <v>403</v>
      </c>
      <c r="N5" s="4" t="str">
        <f t="shared" ca="1" si="0"/>
        <v>12AP1</v>
      </c>
    </row>
    <row r="6" spans="1:14">
      <c r="A6" s="4" t="s">
        <v>625</v>
      </c>
      <c r="B6" s="6" t="str">
        <f>B5</f>
        <v>AP1</v>
      </c>
      <c r="C6" s="4">
        <v>30</v>
      </c>
      <c r="D6" s="4">
        <v>0</v>
      </c>
      <c r="E6" s="4">
        <v>0</v>
      </c>
      <c r="F6" s="4">
        <f>F5</f>
        <v>75</v>
      </c>
      <c r="G6" s="4"/>
      <c r="H6" s="4">
        <v>1</v>
      </c>
      <c r="I6" s="4">
        <v>1</v>
      </c>
      <c r="J6" s="4"/>
      <c r="K6" s="4">
        <v>77</v>
      </c>
      <c r="L6" s="4"/>
      <c r="M6" s="4">
        <v>9999</v>
      </c>
      <c r="N6" s="4" t="str">
        <f t="shared" ca="1" si="0"/>
        <v>12AP1</v>
      </c>
    </row>
    <row r="7" spans="1:14">
      <c r="A7" s="4" t="s">
        <v>626</v>
      </c>
      <c r="B7" s="6" t="str">
        <f>B6</f>
        <v>AP1</v>
      </c>
      <c r="C7" s="4">
        <v>40</v>
      </c>
      <c r="D7" s="4">
        <v>0</v>
      </c>
      <c r="E7" s="4">
        <v>0</v>
      </c>
      <c r="F7" s="4">
        <f>F6</f>
        <v>75</v>
      </c>
      <c r="G7" s="4"/>
      <c r="H7" s="4">
        <v>2</v>
      </c>
      <c r="I7" s="4">
        <v>1</v>
      </c>
      <c r="J7" s="4"/>
      <c r="K7" s="4">
        <v>77</v>
      </c>
      <c r="L7" s="4"/>
      <c r="M7" s="4">
        <v>9999</v>
      </c>
      <c r="N7" s="4" t="str">
        <f t="shared" ca="1" si="0"/>
        <v>12AP1</v>
      </c>
    </row>
    <row r="8" spans="1:14">
      <c r="A8" s="7" t="s">
        <v>627</v>
      </c>
      <c r="B8" s="8" t="s">
        <v>17</v>
      </c>
      <c r="C8" s="7">
        <v>10</v>
      </c>
      <c r="D8" s="8">
        <v>0</v>
      </c>
      <c r="E8" s="8">
        <v>0</v>
      </c>
      <c r="F8" s="8">
        <v>75</v>
      </c>
      <c r="G8" s="7" t="s">
        <v>628</v>
      </c>
      <c r="H8" s="8">
        <v>1</v>
      </c>
      <c r="I8" s="8">
        <v>2</v>
      </c>
      <c r="J8" s="8"/>
      <c r="K8" s="8">
        <v>238</v>
      </c>
      <c r="L8" s="8"/>
      <c r="M8" s="8">
        <v>9999</v>
      </c>
      <c r="N8" s="4" t="str">
        <f t="shared" ca="1" si="0"/>
        <v>12AP2</v>
      </c>
    </row>
    <row r="9" spans="1:14">
      <c r="A9" s="7" t="s">
        <v>629</v>
      </c>
      <c r="B9" s="8" t="str">
        <f>B8</f>
        <v>AP2</v>
      </c>
      <c r="C9" s="7">
        <v>20</v>
      </c>
      <c r="D9" s="8">
        <v>0</v>
      </c>
      <c r="E9" s="8">
        <v>0</v>
      </c>
      <c r="F9" s="8">
        <f>F8</f>
        <v>75</v>
      </c>
      <c r="G9" s="7"/>
      <c r="H9" s="8">
        <v>1</v>
      </c>
      <c r="I9" s="8">
        <v>2</v>
      </c>
      <c r="J9" s="8"/>
      <c r="K9" s="8">
        <v>110</v>
      </c>
      <c r="L9" s="8"/>
      <c r="M9" s="8">
        <v>9999</v>
      </c>
      <c r="N9" s="4" t="str">
        <f t="shared" ca="1" si="0"/>
        <v>12AP2</v>
      </c>
    </row>
    <row r="10" spans="1:14">
      <c r="A10" s="7" t="s">
        <v>630</v>
      </c>
      <c r="B10" s="8" t="str">
        <f>B9</f>
        <v>AP2</v>
      </c>
      <c r="C10" s="7">
        <v>40</v>
      </c>
      <c r="D10" s="8">
        <v>0</v>
      </c>
      <c r="E10" s="8">
        <v>1</v>
      </c>
      <c r="F10" s="8">
        <f>F9</f>
        <v>75</v>
      </c>
      <c r="G10" s="8" t="s">
        <v>194</v>
      </c>
      <c r="H10" s="8">
        <v>1</v>
      </c>
      <c r="I10" s="8">
        <v>2</v>
      </c>
      <c r="J10" s="8"/>
      <c r="K10" s="8">
        <v>77</v>
      </c>
      <c r="L10" s="8"/>
      <c r="M10" s="8">
        <v>60</v>
      </c>
      <c r="N10" s="4" t="str">
        <f t="shared" ca="1" si="0"/>
        <v>12AP2</v>
      </c>
    </row>
    <row r="11" spans="1:14">
      <c r="A11" s="7" t="s">
        <v>631</v>
      </c>
      <c r="B11" s="8" t="str">
        <f>B10</f>
        <v>AP2</v>
      </c>
      <c r="C11" s="7">
        <v>5</v>
      </c>
      <c r="D11" s="8">
        <v>0</v>
      </c>
      <c r="E11" s="8">
        <v>1</v>
      </c>
      <c r="F11" s="8">
        <f>F10</f>
        <v>75</v>
      </c>
      <c r="G11" s="7"/>
      <c r="H11" s="8">
        <v>1</v>
      </c>
      <c r="I11" s="8">
        <v>2</v>
      </c>
      <c r="J11" s="8"/>
      <c r="K11" s="8">
        <v>434</v>
      </c>
      <c r="L11" s="8"/>
      <c r="M11" s="8">
        <v>413</v>
      </c>
      <c r="N11" s="4" t="str">
        <f t="shared" ca="1" si="0"/>
        <v>12AP2</v>
      </c>
    </row>
    <row r="12" spans="1:14">
      <c r="A12" s="7" t="s">
        <v>632</v>
      </c>
      <c r="B12" s="8" t="str">
        <f>B11</f>
        <v>AP2</v>
      </c>
      <c r="C12" s="7">
        <v>30</v>
      </c>
      <c r="D12" s="8">
        <v>0</v>
      </c>
      <c r="E12" s="8">
        <v>0</v>
      </c>
      <c r="F12" s="8">
        <f>F11</f>
        <v>75</v>
      </c>
      <c r="G12" s="7" t="s">
        <v>633</v>
      </c>
      <c r="H12" s="8">
        <v>1</v>
      </c>
      <c r="I12" s="8">
        <v>2</v>
      </c>
      <c r="J12" s="8"/>
      <c r="K12" s="8">
        <v>77</v>
      </c>
      <c r="L12" s="8"/>
      <c r="M12" s="8">
        <v>9999</v>
      </c>
      <c r="N12" s="4" t="str">
        <f t="shared" ca="1" si="0"/>
        <v>12AP2</v>
      </c>
    </row>
    <row r="13" spans="1:14">
      <c r="A13" s="7" t="s">
        <v>634</v>
      </c>
      <c r="B13" s="8" t="str">
        <f>B12</f>
        <v>AP2</v>
      </c>
      <c r="C13" s="7">
        <v>10</v>
      </c>
      <c r="D13" s="8">
        <v>1</v>
      </c>
      <c r="E13" s="8">
        <v>1</v>
      </c>
      <c r="F13" s="8">
        <f>F12</f>
        <v>75</v>
      </c>
      <c r="G13" s="7" t="s">
        <v>635</v>
      </c>
      <c r="H13" s="8">
        <v>2</v>
      </c>
      <c r="I13" s="8">
        <v>2</v>
      </c>
      <c r="J13" s="8"/>
      <c r="K13" s="8">
        <v>236</v>
      </c>
      <c r="L13" s="8"/>
      <c r="M13" s="8">
        <v>198</v>
      </c>
      <c r="N13" s="4" t="str">
        <f t="shared" ca="1" si="0"/>
        <v>12AP2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2"/>
  <sheetViews>
    <sheetView topLeftCell="B1"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636</v>
      </c>
      <c r="B2" s="6" t="s">
        <v>27</v>
      </c>
      <c r="C2" s="6">
        <v>5</v>
      </c>
      <c r="D2" s="4">
        <v>0</v>
      </c>
      <c r="E2" s="4">
        <v>1</v>
      </c>
      <c r="F2" s="4">
        <v>150</v>
      </c>
      <c r="G2" s="5" t="s">
        <v>637</v>
      </c>
      <c r="H2" s="4">
        <v>1</v>
      </c>
      <c r="I2" s="4">
        <v>1</v>
      </c>
      <c r="J2" s="4">
        <f>MAX(I:I)</f>
        <v>4</v>
      </c>
      <c r="K2" s="4">
        <v>428</v>
      </c>
      <c r="L2" s="4"/>
      <c r="M2" s="4">
        <v>434</v>
      </c>
      <c r="N2" s="4" t="str">
        <f t="shared" ref="N2:N32" ca="1" si="0">_xlfn.CONCAT(_xlfn.SHEET(A1),B2)</f>
        <v>13AP1</v>
      </c>
    </row>
    <row r="3" spans="1:14">
      <c r="A3" s="5" t="s">
        <v>638</v>
      </c>
      <c r="B3" s="6" t="str">
        <f>B2</f>
        <v>AP1</v>
      </c>
      <c r="C3" s="6">
        <v>20</v>
      </c>
      <c r="D3" s="6">
        <v>1</v>
      </c>
      <c r="E3" s="6">
        <v>1</v>
      </c>
      <c r="F3" s="4">
        <f>F2</f>
        <v>150</v>
      </c>
      <c r="G3" s="4"/>
      <c r="H3" s="4">
        <v>1</v>
      </c>
      <c r="I3" s="4">
        <v>1</v>
      </c>
      <c r="J3" s="4"/>
      <c r="K3" s="4">
        <v>109</v>
      </c>
      <c r="L3" s="4"/>
      <c r="M3" s="4">
        <v>97</v>
      </c>
      <c r="N3" s="4" t="str">
        <f t="shared" ca="1" si="0"/>
        <v>13AP1</v>
      </c>
    </row>
    <row r="4" spans="1:14">
      <c r="A4" s="5" t="s">
        <v>639</v>
      </c>
      <c r="B4" s="6" t="str">
        <f>B3</f>
        <v>AP1</v>
      </c>
      <c r="C4" s="6">
        <v>10</v>
      </c>
      <c r="D4" s="6">
        <v>0</v>
      </c>
      <c r="E4" s="6">
        <v>1</v>
      </c>
      <c r="F4" s="4">
        <f>F3</f>
        <v>150</v>
      </c>
      <c r="G4" s="4" t="s">
        <v>313</v>
      </c>
      <c r="H4" s="4">
        <v>1</v>
      </c>
      <c r="I4" s="4">
        <v>1</v>
      </c>
      <c r="J4" s="4"/>
      <c r="K4" s="4">
        <v>236</v>
      </c>
      <c r="L4" s="4"/>
      <c r="M4" s="4">
        <v>210</v>
      </c>
      <c r="N4" s="4" t="str">
        <f t="shared" ca="1" si="0"/>
        <v>13AP1</v>
      </c>
    </row>
    <row r="5" spans="1:14">
      <c r="A5" s="4" t="s">
        <v>640</v>
      </c>
      <c r="B5" s="6" t="str">
        <f>B4</f>
        <v>AP1</v>
      </c>
      <c r="C5" s="4">
        <v>40</v>
      </c>
      <c r="D5" s="4">
        <v>0</v>
      </c>
      <c r="E5" s="4">
        <v>1</v>
      </c>
      <c r="F5" s="4">
        <f>F4</f>
        <v>150</v>
      </c>
      <c r="G5" s="4"/>
      <c r="H5" s="4">
        <v>1</v>
      </c>
      <c r="I5" s="4">
        <v>1</v>
      </c>
      <c r="J5" s="4"/>
      <c r="K5" s="4">
        <v>77</v>
      </c>
      <c r="L5" s="4"/>
      <c r="M5" s="4">
        <v>45</v>
      </c>
      <c r="N5" s="4" t="str">
        <f t="shared" ca="1" si="0"/>
        <v>13AP1</v>
      </c>
    </row>
    <row r="6" spans="1:14">
      <c r="A6" s="4" t="s">
        <v>641</v>
      </c>
      <c r="B6" s="6" t="str">
        <f>B5</f>
        <v>AP1</v>
      </c>
      <c r="C6" s="4">
        <v>30</v>
      </c>
      <c r="D6" s="4">
        <v>0</v>
      </c>
      <c r="E6" s="4">
        <v>0</v>
      </c>
      <c r="F6" s="4">
        <f>F5</f>
        <v>150</v>
      </c>
      <c r="G6" s="4"/>
      <c r="H6" s="4">
        <v>1</v>
      </c>
      <c r="I6" s="4">
        <v>1</v>
      </c>
      <c r="J6" s="4"/>
      <c r="K6" s="4">
        <v>76</v>
      </c>
      <c r="L6" s="4"/>
      <c r="M6" s="4">
        <v>9999</v>
      </c>
      <c r="N6" s="4" t="str">
        <f t="shared" ca="1" si="0"/>
        <v>13AP1</v>
      </c>
    </row>
    <row r="7" spans="1:14">
      <c r="A7" s="4" t="s">
        <v>642</v>
      </c>
      <c r="B7" s="6" t="str">
        <f>B3</f>
        <v>AP1</v>
      </c>
      <c r="C7" s="4">
        <v>5</v>
      </c>
      <c r="D7" s="4">
        <v>0</v>
      </c>
      <c r="E7" s="4">
        <v>0</v>
      </c>
      <c r="F7" s="4">
        <f>F3</f>
        <v>150</v>
      </c>
      <c r="G7" s="4"/>
      <c r="H7" s="4">
        <v>2</v>
      </c>
      <c r="I7" s="4">
        <v>1</v>
      </c>
      <c r="J7" s="4"/>
      <c r="K7" s="4">
        <v>428</v>
      </c>
      <c r="L7" s="4"/>
      <c r="M7" s="4">
        <v>9999</v>
      </c>
      <c r="N7" s="4" t="str">
        <f t="shared" ca="1" si="0"/>
        <v>13AP1</v>
      </c>
    </row>
    <row r="8" spans="1:14">
      <c r="A8" s="4" t="s">
        <v>643</v>
      </c>
      <c r="B8" s="6" t="str">
        <f>B4</f>
        <v>AP1</v>
      </c>
      <c r="C8" s="4">
        <v>20</v>
      </c>
      <c r="D8" s="4">
        <v>-1</v>
      </c>
      <c r="E8" s="4"/>
      <c r="F8" s="4">
        <f>F4</f>
        <v>150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4" t="str">
        <f t="shared" ca="1" si="0"/>
        <v>13AP1</v>
      </c>
    </row>
    <row r="9" spans="1:14">
      <c r="A9" s="4" t="s">
        <v>644</v>
      </c>
      <c r="B9" s="6" t="str">
        <f>B5</f>
        <v>AP1</v>
      </c>
      <c r="C9" s="4">
        <v>20</v>
      </c>
      <c r="D9" s="4">
        <v>-1</v>
      </c>
      <c r="E9" s="4"/>
      <c r="F9" s="4">
        <f>F5</f>
        <v>150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13AP1</v>
      </c>
    </row>
    <row r="10" spans="1:14">
      <c r="A10" s="4" t="s">
        <v>645</v>
      </c>
      <c r="B10" s="6" t="str">
        <f>B6</f>
        <v>AP1</v>
      </c>
      <c r="C10" s="4">
        <v>100</v>
      </c>
      <c r="D10" s="4">
        <v>0</v>
      </c>
      <c r="E10" s="4"/>
      <c r="F10" s="4">
        <f>F6</f>
        <v>150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13AP1</v>
      </c>
    </row>
    <row r="11" spans="1:14">
      <c r="A11" s="7" t="s">
        <v>646</v>
      </c>
      <c r="B11" s="8" t="s">
        <v>17</v>
      </c>
      <c r="C11" s="7">
        <v>20</v>
      </c>
      <c r="D11" s="8">
        <v>0</v>
      </c>
      <c r="E11" s="8"/>
      <c r="F11" s="8">
        <v>75</v>
      </c>
      <c r="G11" s="7" t="s">
        <v>64</v>
      </c>
      <c r="H11" s="8">
        <v>1</v>
      </c>
      <c r="I11" s="8">
        <v>2</v>
      </c>
      <c r="J11" s="8"/>
      <c r="K11" s="8">
        <v>108</v>
      </c>
      <c r="L11" s="8"/>
      <c r="M11" s="8">
        <v>109</v>
      </c>
      <c r="N11" s="4" t="str">
        <f t="shared" ca="1" si="0"/>
        <v>13AP2</v>
      </c>
    </row>
    <row r="12" spans="1:14">
      <c r="A12" s="7" t="s">
        <v>647</v>
      </c>
      <c r="B12" s="8" t="str">
        <f>B11</f>
        <v>AP2</v>
      </c>
      <c r="C12" s="7">
        <v>10</v>
      </c>
      <c r="D12" s="8">
        <v>0</v>
      </c>
      <c r="E12" s="8"/>
      <c r="F12" s="8">
        <f>F11</f>
        <v>75</v>
      </c>
      <c r="G12" s="7"/>
      <c r="H12" s="8">
        <v>1</v>
      </c>
      <c r="I12" s="8">
        <v>2</v>
      </c>
      <c r="J12" s="8"/>
      <c r="K12" s="8">
        <v>236</v>
      </c>
      <c r="L12" s="8"/>
      <c r="M12" s="8">
        <v>657</v>
      </c>
      <c r="N12" s="4" t="str">
        <f t="shared" ca="1" si="0"/>
        <v>13AP2</v>
      </c>
    </row>
    <row r="13" spans="1:14">
      <c r="A13" s="7" t="s">
        <v>648</v>
      </c>
      <c r="B13" s="8" t="str">
        <f>B12</f>
        <v>AP2</v>
      </c>
      <c r="C13" s="7">
        <v>40</v>
      </c>
      <c r="D13" s="8">
        <v>1</v>
      </c>
      <c r="E13" s="8">
        <v>1</v>
      </c>
      <c r="F13" s="8">
        <f>F12</f>
        <v>75</v>
      </c>
      <c r="G13" s="8" t="s">
        <v>649</v>
      </c>
      <c r="H13" s="8">
        <v>1</v>
      </c>
      <c r="I13" s="8">
        <v>2</v>
      </c>
      <c r="J13" s="8"/>
      <c r="K13" s="8">
        <v>77</v>
      </c>
      <c r="L13" s="8"/>
      <c r="M13" s="8">
        <v>55</v>
      </c>
      <c r="N13" s="4" t="str">
        <f t="shared" ca="1" si="0"/>
        <v>13AP2</v>
      </c>
    </row>
    <row r="14" spans="1:14">
      <c r="A14" s="7" t="s">
        <v>650</v>
      </c>
      <c r="B14" s="8" t="str">
        <f>B13</f>
        <v>AP2</v>
      </c>
      <c r="C14" s="7">
        <v>5</v>
      </c>
      <c r="D14" s="8">
        <v>0</v>
      </c>
      <c r="E14" s="8">
        <v>0</v>
      </c>
      <c r="F14" s="8">
        <f>F13</f>
        <v>75</v>
      </c>
      <c r="G14" s="7"/>
      <c r="H14" s="8">
        <v>1</v>
      </c>
      <c r="I14" s="8">
        <v>2</v>
      </c>
      <c r="J14" s="8"/>
      <c r="K14" s="8">
        <v>427</v>
      </c>
      <c r="L14" s="8"/>
      <c r="M14" s="8">
        <v>9999</v>
      </c>
      <c r="N14" s="4" t="str">
        <f t="shared" ca="1" si="0"/>
        <v>13AP2</v>
      </c>
    </row>
    <row r="15" spans="1:14">
      <c r="A15" s="7" t="s">
        <v>651</v>
      </c>
      <c r="B15" s="8" t="str">
        <f>B14</f>
        <v>AP2</v>
      </c>
      <c r="C15" s="7">
        <v>30</v>
      </c>
      <c r="D15" s="8">
        <v>1</v>
      </c>
      <c r="E15" s="8">
        <v>1</v>
      </c>
      <c r="F15" s="8">
        <f>F14</f>
        <v>75</v>
      </c>
      <c r="G15" s="7"/>
      <c r="H15" s="8">
        <v>1</v>
      </c>
      <c r="I15" s="8">
        <v>2</v>
      </c>
      <c r="J15" s="8"/>
      <c r="K15" s="8">
        <v>77</v>
      </c>
      <c r="L15" s="8"/>
      <c r="M15" s="8">
        <v>69</v>
      </c>
      <c r="N15" s="4" t="str">
        <f t="shared" ca="1" si="0"/>
        <v>13AP2</v>
      </c>
    </row>
    <row r="16" spans="1:14">
      <c r="A16" s="7" t="s">
        <v>652</v>
      </c>
      <c r="B16" s="8" t="str">
        <f>B14</f>
        <v>AP2</v>
      </c>
      <c r="C16" s="7">
        <v>20</v>
      </c>
      <c r="D16" s="8">
        <v>1</v>
      </c>
      <c r="E16" s="8"/>
      <c r="F16" s="8">
        <f>F14</f>
        <v>75</v>
      </c>
      <c r="G16" s="7"/>
      <c r="H16" s="8">
        <v>2</v>
      </c>
      <c r="I16" s="8">
        <v>2</v>
      </c>
      <c r="J16" s="8"/>
      <c r="K16" s="8">
        <v>108</v>
      </c>
      <c r="L16" s="8"/>
      <c r="M16" s="8">
        <v>100</v>
      </c>
      <c r="N16" s="4" t="str">
        <f t="shared" ca="1" si="0"/>
        <v>13AP2</v>
      </c>
    </row>
    <row r="17" spans="1:14">
      <c r="A17" s="7" t="s">
        <v>653</v>
      </c>
      <c r="B17" s="8" t="str">
        <f>B15</f>
        <v>AP2</v>
      </c>
      <c r="C17" s="7">
        <v>100</v>
      </c>
      <c r="D17" s="8">
        <v>1</v>
      </c>
      <c r="E17" s="8"/>
      <c r="F17" s="8">
        <f>F15</f>
        <v>75</v>
      </c>
      <c r="G17" s="7"/>
      <c r="H17" s="8">
        <v>0</v>
      </c>
      <c r="I17" s="8">
        <v>2</v>
      </c>
      <c r="J17" s="8"/>
      <c r="K17" s="8">
        <v>44</v>
      </c>
      <c r="L17" s="8"/>
      <c r="M17" s="8">
        <v>27</v>
      </c>
      <c r="N17" s="4" t="str">
        <f t="shared" ca="1" si="0"/>
        <v>13AP2</v>
      </c>
    </row>
    <row r="18" spans="1:14">
      <c r="A18" s="4" t="s">
        <v>654</v>
      </c>
      <c r="B18" s="3" t="s">
        <v>39</v>
      </c>
      <c r="C18" s="4">
        <v>5</v>
      </c>
      <c r="D18" s="4">
        <v>0</v>
      </c>
      <c r="E18" s="4">
        <v>0</v>
      </c>
      <c r="F18" s="3">
        <v>150</v>
      </c>
      <c r="G18" s="4"/>
      <c r="H18" s="4">
        <v>1</v>
      </c>
      <c r="I18" s="4">
        <v>3</v>
      </c>
      <c r="J18" s="4"/>
      <c r="K18" s="4">
        <v>428</v>
      </c>
      <c r="L18" s="4"/>
      <c r="M18" s="4">
        <v>9999</v>
      </c>
      <c r="N18" s="4" t="str">
        <f t="shared" ca="1" si="0"/>
        <v>13AP3</v>
      </c>
    </row>
    <row r="19" spans="1:14">
      <c r="A19" s="4" t="s">
        <v>655</v>
      </c>
      <c r="B19" s="3" t="str">
        <f>B18</f>
        <v>AP3</v>
      </c>
      <c r="C19" s="4">
        <v>40</v>
      </c>
      <c r="D19" s="4">
        <v>0</v>
      </c>
      <c r="E19" s="4">
        <v>1</v>
      </c>
      <c r="F19" s="3">
        <f>F18</f>
        <v>150</v>
      </c>
      <c r="G19" s="4"/>
      <c r="H19" s="4">
        <v>1</v>
      </c>
      <c r="I19" s="4">
        <v>3</v>
      </c>
      <c r="J19" s="4"/>
      <c r="K19" s="4">
        <v>77</v>
      </c>
      <c r="L19" s="4"/>
      <c r="M19" s="4">
        <v>59</v>
      </c>
      <c r="N19" s="4" t="str">
        <f t="shared" ca="1" si="0"/>
        <v>13AP3</v>
      </c>
    </row>
    <row r="20" spans="1:14">
      <c r="A20" s="4" t="s">
        <v>656</v>
      </c>
      <c r="B20" s="3" t="str">
        <f>B19</f>
        <v>AP3</v>
      </c>
      <c r="C20" s="4">
        <v>10</v>
      </c>
      <c r="D20" s="4">
        <v>0</v>
      </c>
      <c r="E20" s="4">
        <v>0</v>
      </c>
      <c r="F20" s="3">
        <f>F19</f>
        <v>150</v>
      </c>
      <c r="G20" s="4"/>
      <c r="H20" s="4">
        <v>1</v>
      </c>
      <c r="I20" s="4">
        <v>3</v>
      </c>
      <c r="J20" s="4"/>
      <c r="K20" s="4">
        <v>236</v>
      </c>
      <c r="L20" s="4"/>
      <c r="M20" s="4">
        <v>9999</v>
      </c>
      <c r="N20" s="4" t="str">
        <f t="shared" ca="1" si="0"/>
        <v>13AP3</v>
      </c>
    </row>
    <row r="21" spans="1:14">
      <c r="A21" s="4" t="s">
        <v>657</v>
      </c>
      <c r="B21" s="3" t="str">
        <f>B20</f>
        <v>AP3</v>
      </c>
      <c r="C21" s="4">
        <v>20</v>
      </c>
      <c r="D21" s="4">
        <v>0</v>
      </c>
      <c r="E21" s="4">
        <v>1</v>
      </c>
      <c r="F21" s="3">
        <f>F20</f>
        <v>150</v>
      </c>
      <c r="G21" s="4"/>
      <c r="H21" s="4">
        <v>1</v>
      </c>
      <c r="I21" s="4">
        <v>3</v>
      </c>
      <c r="J21" s="4"/>
      <c r="K21" s="4">
        <v>109</v>
      </c>
      <c r="L21" s="4"/>
      <c r="M21" s="4">
        <v>103</v>
      </c>
      <c r="N21" s="4" t="str">
        <f t="shared" ca="1" si="0"/>
        <v>13AP3</v>
      </c>
    </row>
    <row r="22" spans="1:14">
      <c r="A22" s="4" t="s">
        <v>658</v>
      </c>
      <c r="B22" s="3" t="str">
        <f>B21</f>
        <v>AP3</v>
      </c>
      <c r="C22" s="4">
        <v>30</v>
      </c>
      <c r="D22" s="4">
        <v>1</v>
      </c>
      <c r="E22" s="4">
        <v>2</v>
      </c>
      <c r="F22" s="3">
        <f>F21</f>
        <v>150</v>
      </c>
      <c r="G22" s="9"/>
      <c r="H22" s="4">
        <v>1</v>
      </c>
      <c r="I22" s="4">
        <v>3</v>
      </c>
      <c r="J22" s="4"/>
      <c r="K22" s="4">
        <v>77</v>
      </c>
      <c r="L22" s="4"/>
      <c r="M22" s="4">
        <v>62</v>
      </c>
      <c r="N22" s="4" t="str">
        <f t="shared" ca="1" si="0"/>
        <v>13AP3</v>
      </c>
    </row>
    <row r="23" spans="1:14">
      <c r="A23" s="4" t="s">
        <v>659</v>
      </c>
      <c r="B23" s="3" t="str">
        <f>B22</f>
        <v>AP3</v>
      </c>
      <c r="C23" s="4">
        <v>5</v>
      </c>
      <c r="D23" s="4">
        <v>0</v>
      </c>
      <c r="E23" s="4">
        <v>2</v>
      </c>
      <c r="F23" s="3">
        <f>F22</f>
        <v>150</v>
      </c>
      <c r="G23" s="4" t="s">
        <v>660</v>
      </c>
      <c r="H23" s="4">
        <v>2</v>
      </c>
      <c r="I23" s="4">
        <v>3</v>
      </c>
      <c r="J23" s="4"/>
      <c r="K23" s="4">
        <v>428</v>
      </c>
      <c r="L23" s="4"/>
      <c r="M23" s="4">
        <v>390</v>
      </c>
      <c r="N23" s="4" t="str">
        <f t="shared" ca="1" si="0"/>
        <v>13AP3</v>
      </c>
    </row>
    <row r="24" spans="1:14">
      <c r="A24" s="8" t="s">
        <v>661</v>
      </c>
      <c r="B24" s="8" t="s">
        <v>41</v>
      </c>
      <c r="C24" s="8">
        <v>20</v>
      </c>
      <c r="D24" s="8">
        <v>0</v>
      </c>
      <c r="E24" s="8">
        <v>0</v>
      </c>
      <c r="F24" s="8">
        <v>75</v>
      </c>
      <c r="G24" s="8" t="s">
        <v>662</v>
      </c>
      <c r="H24" s="8">
        <v>1</v>
      </c>
      <c r="I24" s="8">
        <v>4</v>
      </c>
      <c r="J24" s="8"/>
      <c r="K24" s="8">
        <v>109</v>
      </c>
      <c r="L24" s="8"/>
      <c r="M24" s="8">
        <v>116</v>
      </c>
      <c r="N24" s="4" t="str">
        <f t="shared" ca="1" si="0"/>
        <v>13AP4</v>
      </c>
    </row>
    <row r="25" spans="1:14">
      <c r="A25" s="8" t="s">
        <v>663</v>
      </c>
      <c r="B25" s="8" t="str">
        <f t="shared" ref="B25:B32" si="1">B24</f>
        <v>AP4</v>
      </c>
      <c r="C25" s="8">
        <v>40</v>
      </c>
      <c r="D25" s="8">
        <v>0</v>
      </c>
      <c r="E25" s="8">
        <v>1</v>
      </c>
      <c r="F25" s="8">
        <f t="shared" ref="F25:F32" si="2">F24</f>
        <v>75</v>
      </c>
      <c r="G25" s="8" t="s">
        <v>664</v>
      </c>
      <c r="H25" s="8">
        <v>1</v>
      </c>
      <c r="I25" s="8">
        <v>4</v>
      </c>
      <c r="J25" s="8"/>
      <c r="K25" s="8">
        <v>79</v>
      </c>
      <c r="L25" s="8"/>
      <c r="M25" s="8">
        <v>88</v>
      </c>
      <c r="N25" s="4" t="str">
        <f t="shared" ca="1" si="0"/>
        <v>13AP4</v>
      </c>
    </row>
    <row r="26" spans="1:14">
      <c r="A26" s="8" t="s">
        <v>665</v>
      </c>
      <c r="B26" s="8" t="str">
        <f t="shared" si="1"/>
        <v>AP4</v>
      </c>
      <c r="C26" s="8">
        <v>5</v>
      </c>
      <c r="D26" s="8">
        <v>0</v>
      </c>
      <c r="E26" s="8">
        <v>0</v>
      </c>
      <c r="F26" s="8">
        <f t="shared" si="2"/>
        <v>75</v>
      </c>
      <c r="G26" s="8"/>
      <c r="H26" s="8">
        <v>1</v>
      </c>
      <c r="I26" s="8">
        <v>4</v>
      </c>
      <c r="J26" s="8"/>
      <c r="K26" s="8">
        <v>429</v>
      </c>
      <c r="L26" s="8"/>
      <c r="M26" s="8">
        <v>9999</v>
      </c>
      <c r="N26" s="4" t="str">
        <f t="shared" ca="1" si="0"/>
        <v>13AP4</v>
      </c>
    </row>
    <row r="27" spans="1:14">
      <c r="A27" s="8" t="s">
        <v>666</v>
      </c>
      <c r="B27" s="8" t="str">
        <f t="shared" si="1"/>
        <v>AP4</v>
      </c>
      <c r="C27" s="8">
        <v>10</v>
      </c>
      <c r="D27" s="8">
        <v>0</v>
      </c>
      <c r="E27" s="8">
        <v>1</v>
      </c>
      <c r="F27" s="8">
        <f t="shared" si="2"/>
        <v>75</v>
      </c>
      <c r="G27" s="8"/>
      <c r="H27" s="8">
        <v>1</v>
      </c>
      <c r="I27" s="8">
        <v>4</v>
      </c>
      <c r="J27" s="8"/>
      <c r="K27" s="8">
        <v>236</v>
      </c>
      <c r="L27" s="8"/>
      <c r="M27" s="8">
        <v>253</v>
      </c>
      <c r="N27" s="4" t="str">
        <f t="shared" ca="1" si="0"/>
        <v>13AP4</v>
      </c>
    </row>
    <row r="28" spans="1:14">
      <c r="A28" s="8" t="s">
        <v>667</v>
      </c>
      <c r="B28" s="8" t="str">
        <f t="shared" si="1"/>
        <v>AP4</v>
      </c>
      <c r="C28" s="8">
        <v>30</v>
      </c>
      <c r="D28" s="8"/>
      <c r="E28" s="8"/>
      <c r="F28" s="8">
        <f t="shared" si="2"/>
        <v>75</v>
      </c>
      <c r="G28" s="8"/>
      <c r="H28" s="8">
        <v>1</v>
      </c>
      <c r="I28" s="8">
        <v>4</v>
      </c>
      <c r="J28" s="8"/>
      <c r="K28" s="8">
        <v>76</v>
      </c>
      <c r="L28" s="8"/>
      <c r="M28" s="8">
        <v>108</v>
      </c>
      <c r="N28" s="4" t="str">
        <f t="shared" ca="1" si="0"/>
        <v>13AP4</v>
      </c>
    </row>
    <row r="29" spans="1:14">
      <c r="A29" s="8" t="s">
        <v>668</v>
      </c>
      <c r="B29" s="8" t="str">
        <f t="shared" si="1"/>
        <v>AP4</v>
      </c>
      <c r="C29" s="8">
        <v>20</v>
      </c>
      <c r="D29" s="8"/>
      <c r="E29" s="8"/>
      <c r="F29" s="8">
        <f t="shared" si="2"/>
        <v>75</v>
      </c>
      <c r="G29" s="8"/>
      <c r="H29" s="8">
        <v>2</v>
      </c>
      <c r="I29" s="8">
        <v>4</v>
      </c>
      <c r="J29" s="8"/>
      <c r="K29" s="8">
        <v>109</v>
      </c>
      <c r="L29" s="8"/>
      <c r="M29" s="8">
        <v>108</v>
      </c>
      <c r="N29" s="4" t="str">
        <f t="shared" ca="1" si="0"/>
        <v>13AP4</v>
      </c>
    </row>
    <row r="30" spans="1:14">
      <c r="A30" s="8" t="s">
        <v>669</v>
      </c>
      <c r="B30" s="8" t="str">
        <f t="shared" si="1"/>
        <v>AP4</v>
      </c>
      <c r="C30" s="8">
        <v>100</v>
      </c>
      <c r="D30" s="8"/>
      <c r="E30" s="8"/>
      <c r="F30" s="8">
        <f t="shared" si="2"/>
        <v>75</v>
      </c>
      <c r="G30" s="8"/>
      <c r="H30" s="8">
        <v>0</v>
      </c>
      <c r="I30" s="8">
        <v>4</v>
      </c>
      <c r="J30" s="8"/>
      <c r="K30" s="8">
        <v>44</v>
      </c>
      <c r="L30" s="8"/>
      <c r="M30" s="8">
        <v>45</v>
      </c>
      <c r="N30" s="4" t="str">
        <f t="shared" ca="1" si="0"/>
        <v>13AP4</v>
      </c>
    </row>
    <row r="31" spans="1:14">
      <c r="A31" s="8" t="s">
        <v>670</v>
      </c>
      <c r="B31" s="8" t="str">
        <f t="shared" si="1"/>
        <v>AP4</v>
      </c>
      <c r="C31" s="8">
        <v>20</v>
      </c>
      <c r="D31" s="8"/>
      <c r="E31" s="8"/>
      <c r="F31" s="8">
        <f t="shared" si="2"/>
        <v>75</v>
      </c>
      <c r="G31" s="8"/>
      <c r="H31" s="8">
        <v>0</v>
      </c>
      <c r="I31" s="8">
        <v>4</v>
      </c>
      <c r="J31" s="8"/>
      <c r="K31" s="8">
        <v>-1</v>
      </c>
      <c r="L31" s="8">
        <v>-1</v>
      </c>
      <c r="M31" s="8">
        <v>-1</v>
      </c>
      <c r="N31" s="4" t="str">
        <f t="shared" ca="1" si="0"/>
        <v>13AP4</v>
      </c>
    </row>
    <row r="32" spans="1:14">
      <c r="A32" s="8" t="s">
        <v>671</v>
      </c>
      <c r="B32" s="8" t="str">
        <f t="shared" si="1"/>
        <v>AP4</v>
      </c>
      <c r="C32" s="8">
        <v>100</v>
      </c>
      <c r="D32" s="8"/>
      <c r="E32" s="8"/>
      <c r="F32" s="8">
        <f t="shared" si="2"/>
        <v>75</v>
      </c>
      <c r="G32" s="8"/>
      <c r="H32" s="8">
        <v>0</v>
      </c>
      <c r="I32" s="8">
        <v>4</v>
      </c>
      <c r="J32" s="8"/>
      <c r="K32" s="8">
        <v>-1</v>
      </c>
      <c r="L32" s="8">
        <v>-1</v>
      </c>
      <c r="M32" s="8">
        <v>-1</v>
      </c>
      <c r="N32" s="4" t="str">
        <f t="shared" ca="1" si="0"/>
        <v>13AP4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5"/>
  <sheetViews>
    <sheetView topLeftCell="A11"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672</v>
      </c>
      <c r="B2" s="6" t="s">
        <v>27</v>
      </c>
      <c r="C2" s="6">
        <v>5</v>
      </c>
      <c r="D2" s="4">
        <v>0</v>
      </c>
      <c r="E2" s="4"/>
      <c r="F2" s="4">
        <v>250</v>
      </c>
      <c r="G2" s="5"/>
      <c r="H2" s="4">
        <v>1</v>
      </c>
      <c r="I2" s="4">
        <v>1</v>
      </c>
      <c r="J2" s="4">
        <f>MAX(I:I)</f>
        <v>3</v>
      </c>
      <c r="K2" s="4">
        <v>429</v>
      </c>
      <c r="L2" s="4"/>
      <c r="M2" s="4">
        <v>9999</v>
      </c>
      <c r="N2" s="4" t="str">
        <f t="shared" ref="N2:N25" ca="1" si="0">_xlfn.CONCAT(_xlfn.SHEET(A1),B2)</f>
        <v>14AP1</v>
      </c>
    </row>
    <row r="3" spans="1:14">
      <c r="A3" s="5" t="s">
        <v>673</v>
      </c>
      <c r="B3" s="6" t="str">
        <f t="shared" ref="B3:B8" si="1">B2</f>
        <v>AP1</v>
      </c>
      <c r="C3" s="5">
        <v>40</v>
      </c>
      <c r="D3" s="6">
        <v>1</v>
      </c>
      <c r="E3" s="6"/>
      <c r="F3" s="4">
        <f>F2</f>
        <v>250</v>
      </c>
      <c r="G3" s="4"/>
      <c r="H3" s="4">
        <v>1</v>
      </c>
      <c r="I3" s="4">
        <v>1</v>
      </c>
      <c r="J3" s="4"/>
      <c r="K3" s="4">
        <v>76</v>
      </c>
      <c r="L3" s="4"/>
      <c r="M3" s="4">
        <v>44</v>
      </c>
      <c r="N3" s="4" t="str">
        <f t="shared" ca="1" si="0"/>
        <v>14AP1</v>
      </c>
    </row>
    <row r="4" spans="1:14">
      <c r="A4" s="5" t="s">
        <v>674</v>
      </c>
      <c r="B4" s="6" t="str">
        <f t="shared" si="1"/>
        <v>AP1</v>
      </c>
      <c r="C4" s="6">
        <v>20</v>
      </c>
      <c r="D4" s="6">
        <v>1</v>
      </c>
      <c r="E4" s="6"/>
      <c r="F4" s="4">
        <f>F3</f>
        <v>250</v>
      </c>
      <c r="G4" s="4"/>
      <c r="H4" s="4">
        <v>1</v>
      </c>
      <c r="I4" s="4">
        <v>1</v>
      </c>
      <c r="J4" s="4"/>
      <c r="K4" s="4">
        <v>108</v>
      </c>
      <c r="L4" s="4"/>
      <c r="M4" s="4">
        <v>86</v>
      </c>
      <c r="N4" s="4" t="str">
        <f t="shared" ca="1" si="0"/>
        <v>14AP1</v>
      </c>
    </row>
    <row r="5" spans="1:14">
      <c r="A5" s="4" t="s">
        <v>675</v>
      </c>
      <c r="B5" s="6" t="str">
        <f t="shared" si="1"/>
        <v>AP1</v>
      </c>
      <c r="C5" s="4">
        <v>10</v>
      </c>
      <c r="D5" s="4">
        <v>1</v>
      </c>
      <c r="E5" s="4"/>
      <c r="F5" s="4">
        <f>F4</f>
        <v>250</v>
      </c>
      <c r="G5" s="4"/>
      <c r="H5" s="4">
        <v>1</v>
      </c>
      <c r="I5" s="4">
        <v>1</v>
      </c>
      <c r="J5" s="4"/>
      <c r="K5" s="4">
        <v>236</v>
      </c>
      <c r="L5" s="4"/>
      <c r="M5" s="4">
        <v>194</v>
      </c>
      <c r="N5" s="4" t="str">
        <f t="shared" ca="1" si="0"/>
        <v>14AP1</v>
      </c>
    </row>
    <row r="6" spans="1:14">
      <c r="A6" s="4" t="s">
        <v>676</v>
      </c>
      <c r="B6" s="6" t="str">
        <f t="shared" si="1"/>
        <v>AP1</v>
      </c>
      <c r="C6" s="4">
        <v>30</v>
      </c>
      <c r="D6" s="4">
        <v>1</v>
      </c>
      <c r="E6" s="4"/>
      <c r="F6" s="4">
        <f>F5</f>
        <v>250</v>
      </c>
      <c r="G6" s="4"/>
      <c r="H6" s="4">
        <v>1</v>
      </c>
      <c r="I6" s="4">
        <v>1</v>
      </c>
      <c r="J6" s="4"/>
      <c r="K6" s="4">
        <v>77</v>
      </c>
      <c r="L6" s="4"/>
      <c r="M6" s="4">
        <v>57</v>
      </c>
      <c r="N6" s="4" t="str">
        <f t="shared" ca="1" si="0"/>
        <v>14AP1</v>
      </c>
    </row>
    <row r="7" spans="1:14">
      <c r="A7" s="4" t="s">
        <v>677</v>
      </c>
      <c r="B7" s="6" t="str">
        <f t="shared" si="1"/>
        <v>AP1</v>
      </c>
      <c r="C7" s="4">
        <v>5</v>
      </c>
      <c r="D7" s="4">
        <v>0</v>
      </c>
      <c r="E7" s="4"/>
      <c r="F7" s="4">
        <v>250</v>
      </c>
      <c r="G7" s="4"/>
      <c r="H7" s="4">
        <v>2</v>
      </c>
      <c r="I7" s="4">
        <v>1</v>
      </c>
      <c r="J7" s="4"/>
      <c r="K7" s="4">
        <v>428</v>
      </c>
      <c r="L7" s="4"/>
      <c r="M7" s="4">
        <v>9999</v>
      </c>
      <c r="N7" s="4" t="str">
        <f t="shared" ca="1" si="0"/>
        <v>14AP1</v>
      </c>
    </row>
    <row r="8" spans="1:14">
      <c r="A8" s="4" t="s">
        <v>678</v>
      </c>
      <c r="B8" s="6" t="str">
        <f t="shared" si="1"/>
        <v>AP1</v>
      </c>
      <c r="C8" s="4">
        <v>100</v>
      </c>
      <c r="D8" s="4">
        <v>1</v>
      </c>
      <c r="E8" s="4"/>
      <c r="F8" s="4">
        <f>F6</f>
        <v>250</v>
      </c>
      <c r="G8" s="4" t="s">
        <v>679</v>
      </c>
      <c r="H8" s="4">
        <v>2</v>
      </c>
      <c r="I8" s="4">
        <v>1</v>
      </c>
      <c r="J8" s="4"/>
      <c r="K8" s="4">
        <v>45</v>
      </c>
      <c r="L8" s="4"/>
      <c r="M8" s="4">
        <v>28</v>
      </c>
      <c r="N8" s="4" t="str">
        <f t="shared" ca="1" si="0"/>
        <v>14AP1</v>
      </c>
    </row>
    <row r="9" spans="1:14">
      <c r="A9" s="7" t="s">
        <v>680</v>
      </c>
      <c r="B9" s="8" t="s">
        <v>17</v>
      </c>
      <c r="C9" s="7">
        <v>20</v>
      </c>
      <c r="D9" s="8">
        <v>1</v>
      </c>
      <c r="E9" s="8"/>
      <c r="F9" s="8">
        <v>250</v>
      </c>
      <c r="G9" s="7" t="s">
        <v>681</v>
      </c>
      <c r="H9" s="8">
        <v>1</v>
      </c>
      <c r="I9" s="8">
        <v>2</v>
      </c>
      <c r="J9" s="8"/>
      <c r="K9" s="8">
        <v>108</v>
      </c>
      <c r="L9" s="8"/>
      <c r="M9" s="8">
        <v>93</v>
      </c>
      <c r="N9" s="4" t="str">
        <f t="shared" ca="1" si="0"/>
        <v>14AP2</v>
      </c>
    </row>
    <row r="10" spans="1:14">
      <c r="A10" s="7" t="s">
        <v>682</v>
      </c>
      <c r="B10" s="8" t="str">
        <f>B9</f>
        <v>AP2</v>
      </c>
      <c r="C10" s="7">
        <v>40</v>
      </c>
      <c r="D10" s="8">
        <v>1</v>
      </c>
      <c r="E10" s="8"/>
      <c r="F10" s="8">
        <f>F9</f>
        <v>250</v>
      </c>
      <c r="G10" s="7"/>
      <c r="H10" s="8">
        <v>1</v>
      </c>
      <c r="I10" s="8">
        <v>2</v>
      </c>
      <c r="J10" s="8"/>
      <c r="K10" s="8">
        <v>76</v>
      </c>
      <c r="L10" s="8"/>
      <c r="M10" s="8">
        <v>34</v>
      </c>
      <c r="N10" s="4" t="str">
        <f t="shared" ca="1" si="0"/>
        <v>14AP2</v>
      </c>
    </row>
    <row r="11" spans="1:14">
      <c r="A11" s="7" t="s">
        <v>683</v>
      </c>
      <c r="B11" s="8" t="str">
        <f>B10</f>
        <v>AP2</v>
      </c>
      <c r="C11" s="7">
        <v>5</v>
      </c>
      <c r="D11" s="8">
        <v>1</v>
      </c>
      <c r="E11" s="8"/>
      <c r="F11" s="8">
        <f>F10</f>
        <v>250</v>
      </c>
      <c r="G11" s="8" t="s">
        <v>684</v>
      </c>
      <c r="H11" s="8">
        <v>1</v>
      </c>
      <c r="I11" s="8">
        <v>2</v>
      </c>
      <c r="J11" s="8"/>
      <c r="K11" s="8">
        <v>429</v>
      </c>
      <c r="L11" s="8"/>
      <c r="M11" s="8">
        <v>377</v>
      </c>
      <c r="N11" s="4" t="str">
        <f t="shared" ca="1" si="0"/>
        <v>14AP2</v>
      </c>
    </row>
    <row r="12" spans="1:14">
      <c r="A12" s="7" t="s">
        <v>685</v>
      </c>
      <c r="B12" s="8" t="str">
        <f>B11</f>
        <v>AP2</v>
      </c>
      <c r="C12" s="7">
        <v>10</v>
      </c>
      <c r="D12" s="8">
        <v>1</v>
      </c>
      <c r="E12" s="8"/>
      <c r="F12" s="8">
        <f>F11</f>
        <v>250</v>
      </c>
      <c r="G12" s="7"/>
      <c r="H12" s="8">
        <v>1</v>
      </c>
      <c r="I12" s="8">
        <v>2</v>
      </c>
      <c r="J12" s="8"/>
      <c r="K12" s="8">
        <v>236</v>
      </c>
      <c r="L12" s="8"/>
      <c r="M12" s="8">
        <v>172</v>
      </c>
      <c r="N12" s="4" t="str">
        <f t="shared" ca="1" si="0"/>
        <v>14AP2</v>
      </c>
    </row>
    <row r="13" spans="1:14">
      <c r="A13" s="7" t="s">
        <v>686</v>
      </c>
      <c r="B13" s="8" t="str">
        <f>B12</f>
        <v>AP2</v>
      </c>
      <c r="C13" s="7">
        <v>30</v>
      </c>
      <c r="D13" s="8">
        <v>1</v>
      </c>
      <c r="E13" s="8"/>
      <c r="F13" s="8">
        <f>F12</f>
        <v>250</v>
      </c>
      <c r="G13" s="7" t="s">
        <v>687</v>
      </c>
      <c r="H13" s="8">
        <v>1</v>
      </c>
      <c r="I13" s="8">
        <v>2</v>
      </c>
      <c r="J13" s="8"/>
      <c r="K13" s="8">
        <v>76</v>
      </c>
      <c r="L13" s="8"/>
      <c r="M13" s="8">
        <v>57</v>
      </c>
      <c r="N13" s="4" t="str">
        <f t="shared" ca="1" si="0"/>
        <v>14AP2</v>
      </c>
    </row>
    <row r="14" spans="1:14">
      <c r="A14" s="7" t="s">
        <v>688</v>
      </c>
      <c r="B14" s="8" t="str">
        <f>B12</f>
        <v>AP2</v>
      </c>
      <c r="C14" s="7">
        <v>20</v>
      </c>
      <c r="D14" s="8">
        <v>1</v>
      </c>
      <c r="E14" s="8">
        <v>0</v>
      </c>
      <c r="F14" s="8">
        <f>F12</f>
        <v>250</v>
      </c>
      <c r="G14" s="7" t="s">
        <v>689</v>
      </c>
      <c r="H14" s="8">
        <v>2</v>
      </c>
      <c r="I14" s="8">
        <v>2</v>
      </c>
      <c r="J14" s="8"/>
      <c r="K14" s="8">
        <v>109</v>
      </c>
      <c r="L14" s="8"/>
      <c r="M14" s="8">
        <v>95</v>
      </c>
      <c r="N14" s="4" t="str">
        <f t="shared" ca="1" si="0"/>
        <v>14AP2</v>
      </c>
    </row>
    <row r="15" spans="1:14">
      <c r="A15" s="7" t="s">
        <v>690</v>
      </c>
      <c r="B15" s="8" t="str">
        <f>B13</f>
        <v>AP2</v>
      </c>
      <c r="C15" s="7">
        <v>100</v>
      </c>
      <c r="D15" s="8">
        <v>1</v>
      </c>
      <c r="E15" s="8">
        <v>1</v>
      </c>
      <c r="F15" s="8">
        <v>250</v>
      </c>
      <c r="G15" s="7" t="s">
        <v>691</v>
      </c>
      <c r="H15" s="8">
        <v>0</v>
      </c>
      <c r="I15" s="8">
        <v>2</v>
      </c>
      <c r="J15" s="8"/>
      <c r="K15" s="8">
        <v>44</v>
      </c>
      <c r="L15" s="8"/>
      <c r="M15" s="8">
        <v>26</v>
      </c>
      <c r="N15" s="4" t="str">
        <f t="shared" ca="1" si="0"/>
        <v>14AP2</v>
      </c>
    </row>
    <row r="16" spans="1:14">
      <c r="A16" s="7" t="s">
        <v>692</v>
      </c>
      <c r="B16" s="8" t="str">
        <f>B14</f>
        <v>AP2</v>
      </c>
      <c r="C16" s="7">
        <v>20</v>
      </c>
      <c r="D16" s="8">
        <v>-1</v>
      </c>
      <c r="E16" s="8">
        <v>0</v>
      </c>
      <c r="F16" s="8">
        <v>250</v>
      </c>
      <c r="G16" s="7" t="s">
        <v>401</v>
      </c>
      <c r="H16" s="8">
        <v>0</v>
      </c>
      <c r="I16" s="8">
        <v>2</v>
      </c>
      <c r="J16" s="8"/>
      <c r="K16" s="8">
        <v>-1</v>
      </c>
      <c r="L16" s="8">
        <v>-1</v>
      </c>
      <c r="M16" s="8">
        <v>-1</v>
      </c>
      <c r="N16" s="4" t="str">
        <f t="shared" ca="1" si="0"/>
        <v>14AP2</v>
      </c>
    </row>
    <row r="17" spans="1:14">
      <c r="A17" s="7" t="s">
        <v>693</v>
      </c>
      <c r="B17" s="8" t="str">
        <f>B15</f>
        <v>AP2</v>
      </c>
      <c r="C17" s="7">
        <v>20</v>
      </c>
      <c r="D17" s="8">
        <v>0</v>
      </c>
      <c r="E17" s="8">
        <v>0</v>
      </c>
      <c r="F17" s="8">
        <v>150</v>
      </c>
      <c r="G17" s="7" t="s">
        <v>694</v>
      </c>
      <c r="H17" s="8">
        <v>0</v>
      </c>
      <c r="I17" s="8">
        <v>2</v>
      </c>
      <c r="J17" s="8"/>
      <c r="K17" s="8">
        <v>108</v>
      </c>
      <c r="L17" s="8"/>
      <c r="M17" s="8">
        <v>160</v>
      </c>
      <c r="N17" s="4" t="str">
        <f t="shared" ca="1" si="0"/>
        <v>14AP2</v>
      </c>
    </row>
    <row r="18" spans="1:14">
      <c r="A18" s="7" t="s">
        <v>695</v>
      </c>
      <c r="B18" s="8" t="str">
        <f>B16</f>
        <v>AP2</v>
      </c>
      <c r="C18" s="7">
        <v>40</v>
      </c>
      <c r="D18" s="8">
        <v>1</v>
      </c>
      <c r="E18" s="8">
        <v>0</v>
      </c>
      <c r="F18" s="8">
        <v>150</v>
      </c>
      <c r="G18" s="7" t="s">
        <v>694</v>
      </c>
      <c r="H18" s="8">
        <v>0</v>
      </c>
      <c r="I18" s="8">
        <v>2</v>
      </c>
      <c r="J18" s="8"/>
      <c r="K18" s="8">
        <v>77</v>
      </c>
      <c r="L18" s="8"/>
      <c r="M18" s="8">
        <v>45</v>
      </c>
      <c r="N18" s="4" t="str">
        <f t="shared" ca="1" si="0"/>
        <v>14AP2</v>
      </c>
    </row>
    <row r="19" spans="1:14">
      <c r="A19" s="4" t="s">
        <v>696</v>
      </c>
      <c r="B19" s="3" t="s">
        <v>39</v>
      </c>
      <c r="C19" s="4">
        <v>10</v>
      </c>
      <c r="D19" s="4">
        <v>0</v>
      </c>
      <c r="E19" s="4"/>
      <c r="F19" s="3">
        <v>150</v>
      </c>
      <c r="G19" s="4" t="s">
        <v>697</v>
      </c>
      <c r="H19" s="4">
        <v>1</v>
      </c>
      <c r="I19" s="4">
        <v>3</v>
      </c>
      <c r="J19" s="4"/>
      <c r="K19" s="4">
        <v>236</v>
      </c>
      <c r="L19" s="4"/>
      <c r="M19" s="4">
        <v>258</v>
      </c>
      <c r="N19" s="4" t="str">
        <f t="shared" ca="1" si="0"/>
        <v>14AP3</v>
      </c>
    </row>
    <row r="20" spans="1:14">
      <c r="A20" s="4" t="s">
        <v>698</v>
      </c>
      <c r="B20" s="3" t="str">
        <f t="shared" ref="B20:B25" si="2">B19</f>
        <v>AP3</v>
      </c>
      <c r="C20" s="4">
        <v>20</v>
      </c>
      <c r="D20" s="4">
        <v>0</v>
      </c>
      <c r="E20" s="4"/>
      <c r="F20" s="3">
        <f t="shared" ref="F20:F25" si="3">F19</f>
        <v>150</v>
      </c>
      <c r="G20" s="4" t="s">
        <v>699</v>
      </c>
      <c r="H20" s="4">
        <v>1</v>
      </c>
      <c r="I20" s="4">
        <v>3</v>
      </c>
      <c r="J20" s="4"/>
      <c r="K20" s="4">
        <v>108</v>
      </c>
      <c r="L20" s="4"/>
      <c r="M20" s="4">
        <v>123</v>
      </c>
      <c r="N20" s="4" t="str">
        <f t="shared" ca="1" si="0"/>
        <v>14AP3</v>
      </c>
    </row>
    <row r="21" spans="1:14">
      <c r="A21" s="4" t="s">
        <v>700</v>
      </c>
      <c r="B21" s="3" t="str">
        <f t="shared" si="2"/>
        <v>AP3</v>
      </c>
      <c r="C21" s="4">
        <v>40</v>
      </c>
      <c r="D21" s="4">
        <v>0</v>
      </c>
      <c r="E21" s="4"/>
      <c r="F21" s="3">
        <f t="shared" si="3"/>
        <v>150</v>
      </c>
      <c r="G21" s="4"/>
      <c r="H21" s="4">
        <v>1</v>
      </c>
      <c r="I21" s="4">
        <v>3</v>
      </c>
      <c r="J21" s="4"/>
      <c r="K21" s="4">
        <v>76</v>
      </c>
      <c r="L21" s="4"/>
      <c r="M21" s="4">
        <v>88</v>
      </c>
      <c r="N21" s="4" t="str">
        <f t="shared" ca="1" si="0"/>
        <v>14AP3</v>
      </c>
    </row>
    <row r="22" spans="1:14">
      <c r="A22" s="4" t="s">
        <v>701</v>
      </c>
      <c r="B22" s="3" t="str">
        <f t="shared" si="2"/>
        <v>AP3</v>
      </c>
      <c r="C22" s="4">
        <v>5</v>
      </c>
      <c r="D22" s="4">
        <v>0</v>
      </c>
      <c r="E22" s="4"/>
      <c r="F22" s="3">
        <f t="shared" si="3"/>
        <v>150</v>
      </c>
      <c r="G22" s="4" t="s">
        <v>702</v>
      </c>
      <c r="H22" s="4">
        <v>1</v>
      </c>
      <c r="I22" s="4">
        <v>3</v>
      </c>
      <c r="J22" s="4"/>
      <c r="K22" s="4">
        <v>429</v>
      </c>
      <c r="L22" s="4"/>
      <c r="M22" s="4">
        <v>417</v>
      </c>
      <c r="N22" s="4" t="str">
        <f t="shared" ca="1" si="0"/>
        <v>14AP3</v>
      </c>
    </row>
    <row r="23" spans="1:14">
      <c r="A23" s="4" t="s">
        <v>703</v>
      </c>
      <c r="B23" s="3" t="str">
        <f t="shared" si="2"/>
        <v>AP3</v>
      </c>
      <c r="C23" s="4">
        <v>30</v>
      </c>
      <c r="D23" s="4">
        <v>0</v>
      </c>
      <c r="E23" s="4"/>
      <c r="F23" s="3">
        <f t="shared" si="3"/>
        <v>150</v>
      </c>
      <c r="G23" s="9"/>
      <c r="H23" s="4">
        <v>1</v>
      </c>
      <c r="I23" s="4">
        <v>3</v>
      </c>
      <c r="J23" s="4"/>
      <c r="K23" s="4">
        <v>76</v>
      </c>
      <c r="L23" s="4"/>
      <c r="M23" s="4">
        <v>83</v>
      </c>
      <c r="N23" s="4" t="str">
        <f t="shared" ca="1" si="0"/>
        <v>14AP3</v>
      </c>
    </row>
    <row r="24" spans="1:14">
      <c r="A24" s="4" t="s">
        <v>704</v>
      </c>
      <c r="B24" s="3" t="str">
        <f t="shared" si="2"/>
        <v>AP3</v>
      </c>
      <c r="C24" s="4">
        <v>10</v>
      </c>
      <c r="D24" s="4">
        <v>1</v>
      </c>
      <c r="E24" s="4"/>
      <c r="F24" s="3">
        <f t="shared" si="3"/>
        <v>150</v>
      </c>
      <c r="G24" s="9"/>
      <c r="H24" s="4">
        <v>2</v>
      </c>
      <c r="I24" s="4">
        <v>3</v>
      </c>
      <c r="J24" s="4"/>
      <c r="K24" s="4">
        <v>236</v>
      </c>
      <c r="L24" s="4"/>
      <c r="M24" s="4">
        <v>189</v>
      </c>
      <c r="N24" s="4" t="str">
        <f t="shared" ca="1" si="0"/>
        <v>14AP3</v>
      </c>
    </row>
    <row r="25" spans="1:14">
      <c r="A25" s="4" t="s">
        <v>705</v>
      </c>
      <c r="B25" s="3" t="str">
        <f t="shared" si="2"/>
        <v>AP3</v>
      </c>
      <c r="C25" s="4">
        <v>100</v>
      </c>
      <c r="D25" s="4">
        <v>0</v>
      </c>
      <c r="E25" s="4"/>
      <c r="F25" s="3">
        <f t="shared" si="3"/>
        <v>150</v>
      </c>
      <c r="G25" s="4"/>
      <c r="H25" s="4">
        <v>0</v>
      </c>
      <c r="I25" s="4">
        <v>3</v>
      </c>
      <c r="J25" s="4"/>
      <c r="K25" s="4">
        <v>44</v>
      </c>
      <c r="L25" s="4"/>
      <c r="M25" s="4">
        <v>42</v>
      </c>
      <c r="N25" s="4" t="str">
        <f t="shared" ca="1" si="0"/>
        <v>14AP3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2"/>
  <sheetViews>
    <sheetView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706</v>
      </c>
      <c r="B2" s="6" t="s">
        <v>27</v>
      </c>
      <c r="C2" s="6">
        <v>20</v>
      </c>
      <c r="D2" s="4">
        <v>0</v>
      </c>
      <c r="E2" s="4">
        <v>1</v>
      </c>
      <c r="F2" s="4">
        <v>250</v>
      </c>
      <c r="G2" s="5" t="s">
        <v>707</v>
      </c>
      <c r="H2" s="4">
        <v>1</v>
      </c>
      <c r="I2" s="4">
        <v>1</v>
      </c>
      <c r="J2" s="4">
        <f>MAX(I:I)</f>
        <v>2</v>
      </c>
      <c r="K2" s="4">
        <v>109</v>
      </c>
      <c r="L2" s="4">
        <v>101</v>
      </c>
      <c r="M2" s="4">
        <v>104</v>
      </c>
      <c r="N2" s="4" t="str">
        <f t="shared" ref="N2:N22" ca="1" si="0">_xlfn.CONCAT(_xlfn.SHEET(A1),B2)</f>
        <v>15AP1</v>
      </c>
    </row>
    <row r="3" spans="1:14">
      <c r="A3" s="5" t="s">
        <v>708</v>
      </c>
      <c r="B3" s="6" t="str">
        <f t="shared" ref="B3:B13" si="1">B2</f>
        <v>AP1</v>
      </c>
      <c r="C3" s="5">
        <v>40</v>
      </c>
      <c r="D3" s="6">
        <v>1</v>
      </c>
      <c r="E3" s="6">
        <v>2</v>
      </c>
      <c r="F3" s="4">
        <f>F2</f>
        <v>250</v>
      </c>
      <c r="G3" s="4"/>
      <c r="H3" s="4">
        <v>1</v>
      </c>
      <c r="I3" s="4">
        <v>1</v>
      </c>
      <c r="J3" s="4"/>
      <c r="K3" s="4">
        <v>77</v>
      </c>
      <c r="L3" s="4">
        <v>53</v>
      </c>
      <c r="M3" s="4">
        <v>49</v>
      </c>
      <c r="N3" s="4" t="str">
        <f t="shared" ca="1" si="0"/>
        <v>15AP1</v>
      </c>
    </row>
    <row r="4" spans="1:14">
      <c r="A4" s="5" t="s">
        <v>709</v>
      </c>
      <c r="B4" s="6" t="str">
        <f t="shared" si="1"/>
        <v>AP1</v>
      </c>
      <c r="C4" s="6">
        <v>5</v>
      </c>
      <c r="D4" s="6">
        <v>1</v>
      </c>
      <c r="E4" s="6"/>
      <c r="F4" s="4">
        <f>F3</f>
        <v>250</v>
      </c>
      <c r="G4" s="4"/>
      <c r="H4" s="4">
        <v>1</v>
      </c>
      <c r="I4" s="4">
        <v>1</v>
      </c>
      <c r="J4" s="4"/>
      <c r="K4" s="4">
        <v>428</v>
      </c>
      <c r="L4" s="4">
        <v>398</v>
      </c>
      <c r="M4" s="4">
        <v>346</v>
      </c>
      <c r="N4" s="4" t="str">
        <f t="shared" ca="1" si="0"/>
        <v>15AP1</v>
      </c>
    </row>
    <row r="5" spans="1:14">
      <c r="A5" s="4" t="s">
        <v>710</v>
      </c>
      <c r="B5" s="6" t="str">
        <f t="shared" si="1"/>
        <v>AP1</v>
      </c>
      <c r="C5" s="4">
        <v>10</v>
      </c>
      <c r="D5" s="4">
        <v>1</v>
      </c>
      <c r="E5" s="4"/>
      <c r="F5" s="4">
        <f>F4</f>
        <v>250</v>
      </c>
      <c r="G5" s="4"/>
      <c r="H5" s="4">
        <v>1</v>
      </c>
      <c r="I5" s="4">
        <v>1</v>
      </c>
      <c r="J5" s="4"/>
      <c r="K5" s="4">
        <v>236</v>
      </c>
      <c r="L5" s="4">
        <v>199</v>
      </c>
      <c r="M5" s="4">
        <v>144</v>
      </c>
      <c r="N5" s="4" t="str">
        <f t="shared" ca="1" si="0"/>
        <v>15AP1</v>
      </c>
    </row>
    <row r="6" spans="1:14">
      <c r="A6" s="4" t="s">
        <v>711</v>
      </c>
      <c r="B6" s="6" t="str">
        <f t="shared" si="1"/>
        <v>AP1</v>
      </c>
      <c r="C6" s="4">
        <v>30</v>
      </c>
      <c r="D6" s="4">
        <v>1</v>
      </c>
      <c r="E6" s="4"/>
      <c r="F6" s="4">
        <f>F5</f>
        <v>250</v>
      </c>
      <c r="G6" s="4"/>
      <c r="H6" s="4">
        <v>1</v>
      </c>
      <c r="I6" s="4">
        <v>1</v>
      </c>
      <c r="J6" s="4"/>
      <c r="K6" s="4">
        <v>77</v>
      </c>
      <c r="L6" s="4">
        <v>68</v>
      </c>
      <c r="M6" s="4">
        <v>45</v>
      </c>
      <c r="N6" s="4" t="str">
        <f t="shared" ca="1" si="0"/>
        <v>15AP1</v>
      </c>
    </row>
    <row r="7" spans="1:14">
      <c r="A7" s="4" t="s">
        <v>712</v>
      </c>
      <c r="B7" s="6" t="str">
        <f t="shared" si="1"/>
        <v>AP1</v>
      </c>
      <c r="C7" s="4">
        <v>20</v>
      </c>
      <c r="D7" s="4">
        <v>0</v>
      </c>
      <c r="E7" s="4"/>
      <c r="F7" s="4">
        <v>250</v>
      </c>
      <c r="G7" s="4"/>
      <c r="H7" s="4">
        <v>2</v>
      </c>
      <c r="I7" s="4">
        <v>1</v>
      </c>
      <c r="J7" s="4"/>
      <c r="K7" s="4">
        <v>108</v>
      </c>
      <c r="L7" s="4">
        <v>100</v>
      </c>
      <c r="M7" s="4">
        <v>107</v>
      </c>
      <c r="N7" s="4" t="str">
        <f t="shared" ca="1" si="0"/>
        <v>15AP1</v>
      </c>
    </row>
    <row r="8" spans="1:14">
      <c r="A8" s="4" t="s">
        <v>713</v>
      </c>
      <c r="B8" s="6" t="str">
        <f t="shared" si="1"/>
        <v>AP1</v>
      </c>
      <c r="C8" s="4">
        <v>100</v>
      </c>
      <c r="D8" s="4">
        <v>1</v>
      </c>
      <c r="E8" s="4"/>
      <c r="F8" s="4">
        <v>250</v>
      </c>
      <c r="G8" s="4"/>
      <c r="H8" s="4">
        <v>3</v>
      </c>
      <c r="I8" s="4">
        <v>1</v>
      </c>
      <c r="J8" s="4"/>
      <c r="K8" s="4">
        <v>44</v>
      </c>
      <c r="L8" s="4">
        <v>32</v>
      </c>
      <c r="M8" s="4">
        <v>19</v>
      </c>
      <c r="N8" s="4" t="str">
        <f t="shared" ca="1" si="0"/>
        <v>15AP1</v>
      </c>
    </row>
    <row r="9" spans="1:14">
      <c r="A9" s="4" t="s">
        <v>714</v>
      </c>
      <c r="B9" s="6" t="str">
        <f t="shared" si="1"/>
        <v>AP1</v>
      </c>
      <c r="C9" s="4">
        <v>20</v>
      </c>
      <c r="D9" s="4">
        <v>-1</v>
      </c>
      <c r="E9" s="4"/>
      <c r="F9" s="4">
        <v>250</v>
      </c>
      <c r="G9" s="4"/>
      <c r="H9" s="4">
        <v>0</v>
      </c>
      <c r="I9" s="4">
        <v>1</v>
      </c>
      <c r="J9" s="4"/>
      <c r="K9" s="4">
        <v>-1</v>
      </c>
      <c r="L9" s="4">
        <v>-1</v>
      </c>
      <c r="M9" s="4">
        <v>-1</v>
      </c>
      <c r="N9" s="4" t="str">
        <f t="shared" ca="1" si="0"/>
        <v>15AP1</v>
      </c>
    </row>
    <row r="10" spans="1:14">
      <c r="A10" s="4" t="s">
        <v>715</v>
      </c>
      <c r="B10" s="6" t="str">
        <f t="shared" si="1"/>
        <v>AP1</v>
      </c>
      <c r="C10" s="4">
        <v>20</v>
      </c>
      <c r="D10" s="4">
        <v>-1</v>
      </c>
      <c r="E10" s="4"/>
      <c r="F10" s="4">
        <v>250</v>
      </c>
      <c r="G10" s="4"/>
      <c r="H10" s="4">
        <v>0</v>
      </c>
      <c r="I10" s="4">
        <v>1</v>
      </c>
      <c r="J10" s="4"/>
      <c r="K10" s="4">
        <v>-1</v>
      </c>
      <c r="L10" s="4">
        <v>-1</v>
      </c>
      <c r="M10" s="4">
        <v>-1</v>
      </c>
      <c r="N10" s="4" t="str">
        <f t="shared" ca="1" si="0"/>
        <v>15AP1</v>
      </c>
    </row>
    <row r="11" spans="1:14">
      <c r="A11" s="4" t="s">
        <v>716</v>
      </c>
      <c r="B11" s="6" t="str">
        <f t="shared" si="1"/>
        <v>AP1</v>
      </c>
      <c r="C11" s="4">
        <v>20</v>
      </c>
      <c r="D11" s="4">
        <v>-1</v>
      </c>
      <c r="E11" s="4"/>
      <c r="F11" s="4">
        <v>250</v>
      </c>
      <c r="G11" s="4"/>
      <c r="H11" s="4">
        <v>0</v>
      </c>
      <c r="I11" s="4">
        <v>1</v>
      </c>
      <c r="J11" s="4"/>
      <c r="K11" s="4">
        <v>-1</v>
      </c>
      <c r="L11" s="4">
        <v>-1</v>
      </c>
      <c r="M11" s="4">
        <v>-1</v>
      </c>
      <c r="N11" s="4" t="str">
        <f t="shared" ca="1" si="0"/>
        <v>15AP1</v>
      </c>
    </row>
    <row r="12" spans="1:14">
      <c r="A12" s="4" t="s">
        <v>717</v>
      </c>
      <c r="B12" s="6" t="str">
        <f t="shared" si="1"/>
        <v>AP1</v>
      </c>
      <c r="C12" s="4">
        <v>20</v>
      </c>
      <c r="D12" s="4">
        <v>-1</v>
      </c>
      <c r="E12" s="4"/>
      <c r="F12" s="4">
        <v>250</v>
      </c>
      <c r="G12" s="4"/>
      <c r="H12" s="4">
        <v>0</v>
      </c>
      <c r="I12" s="4">
        <v>1</v>
      </c>
      <c r="J12" s="4"/>
      <c r="K12" s="4">
        <v>-1</v>
      </c>
      <c r="L12" s="4">
        <v>-1</v>
      </c>
      <c r="M12" s="4">
        <v>-1</v>
      </c>
      <c r="N12" s="4" t="str">
        <f t="shared" ca="1" si="0"/>
        <v>15AP1</v>
      </c>
    </row>
    <row r="13" spans="1:14">
      <c r="A13" s="4" t="s">
        <v>718</v>
      </c>
      <c r="B13" s="6" t="str">
        <f t="shared" si="1"/>
        <v>AP1</v>
      </c>
      <c r="C13" s="4">
        <v>20</v>
      </c>
      <c r="D13" s="4">
        <v>0</v>
      </c>
      <c r="E13" s="4"/>
      <c r="F13" s="4">
        <v>250</v>
      </c>
      <c r="G13" s="4"/>
      <c r="H13" s="4">
        <v>0</v>
      </c>
      <c r="I13" s="4">
        <v>1</v>
      </c>
      <c r="J13" s="4"/>
      <c r="K13" s="4">
        <v>-1</v>
      </c>
      <c r="L13" s="4">
        <v>-1</v>
      </c>
      <c r="M13" s="4">
        <v>-1</v>
      </c>
      <c r="N13" s="4" t="str">
        <f t="shared" ca="1" si="0"/>
        <v>15AP1</v>
      </c>
    </row>
    <row r="14" spans="1:14">
      <c r="A14" s="7" t="s">
        <v>719</v>
      </c>
      <c r="B14" s="8" t="s">
        <v>17</v>
      </c>
      <c r="C14" s="7">
        <v>20</v>
      </c>
      <c r="D14" s="8">
        <v>1</v>
      </c>
      <c r="E14" s="8"/>
      <c r="F14" s="8">
        <v>250</v>
      </c>
      <c r="G14" s="7"/>
      <c r="H14" s="8">
        <v>1</v>
      </c>
      <c r="I14" s="8">
        <v>2</v>
      </c>
      <c r="J14" s="8"/>
      <c r="K14" s="8">
        <v>108</v>
      </c>
      <c r="L14" s="8">
        <v>101</v>
      </c>
      <c r="M14" s="8">
        <v>90</v>
      </c>
      <c r="N14" s="4" t="str">
        <f t="shared" ca="1" si="0"/>
        <v>15AP2</v>
      </c>
    </row>
    <row r="15" spans="1:14">
      <c r="A15" s="7" t="s">
        <v>720</v>
      </c>
      <c r="B15" s="8" t="str">
        <f t="shared" ref="B15:B22" si="2">B14</f>
        <v>AP2</v>
      </c>
      <c r="C15" s="7">
        <v>10</v>
      </c>
      <c r="D15" s="8">
        <v>1</v>
      </c>
      <c r="E15" s="8"/>
      <c r="F15" s="8">
        <f t="shared" ref="F15:F22" si="3">F14</f>
        <v>250</v>
      </c>
      <c r="G15" s="7" t="s">
        <v>679</v>
      </c>
      <c r="H15" s="8">
        <v>1</v>
      </c>
      <c r="I15" s="8">
        <v>2</v>
      </c>
      <c r="J15" s="8"/>
      <c r="K15" s="8">
        <v>237</v>
      </c>
      <c r="L15" s="8">
        <v>200</v>
      </c>
      <c r="M15" s="8">
        <v>175</v>
      </c>
      <c r="N15" s="4" t="str">
        <f t="shared" ca="1" si="0"/>
        <v>15AP2</v>
      </c>
    </row>
    <row r="16" spans="1:14">
      <c r="A16" s="7" t="s">
        <v>721</v>
      </c>
      <c r="B16" s="8" t="str">
        <f t="shared" si="2"/>
        <v>AP2</v>
      </c>
      <c r="C16" s="7">
        <v>5</v>
      </c>
      <c r="D16" s="8">
        <v>0</v>
      </c>
      <c r="E16" s="8"/>
      <c r="F16" s="8">
        <f t="shared" si="3"/>
        <v>250</v>
      </c>
      <c r="G16" s="8" t="s">
        <v>722</v>
      </c>
      <c r="H16" s="8">
        <v>1</v>
      </c>
      <c r="I16" s="8">
        <v>2</v>
      </c>
      <c r="J16" s="8"/>
      <c r="K16" s="8">
        <v>429</v>
      </c>
      <c r="L16" s="8">
        <v>399</v>
      </c>
      <c r="M16" s="8">
        <v>379</v>
      </c>
      <c r="N16" s="4" t="str">
        <f t="shared" ca="1" si="0"/>
        <v>15AP2</v>
      </c>
    </row>
    <row r="17" spans="1:14">
      <c r="A17" s="7" t="s">
        <v>723</v>
      </c>
      <c r="B17" s="8" t="str">
        <f t="shared" si="2"/>
        <v>AP2</v>
      </c>
      <c r="C17" s="7">
        <v>40</v>
      </c>
      <c r="D17" s="8">
        <v>1</v>
      </c>
      <c r="E17" s="8"/>
      <c r="F17" s="8">
        <f t="shared" si="3"/>
        <v>250</v>
      </c>
      <c r="G17" s="7"/>
      <c r="H17" s="8">
        <v>1</v>
      </c>
      <c r="I17" s="8">
        <v>2</v>
      </c>
      <c r="J17" s="8"/>
      <c r="K17" s="8">
        <v>77</v>
      </c>
      <c r="L17" s="8">
        <v>53</v>
      </c>
      <c r="M17" s="8">
        <v>40</v>
      </c>
      <c r="N17" s="4" t="str">
        <f t="shared" ca="1" si="0"/>
        <v>15AP2</v>
      </c>
    </row>
    <row r="18" spans="1:14">
      <c r="A18" s="7" t="s">
        <v>724</v>
      </c>
      <c r="B18" s="8" t="str">
        <f t="shared" si="2"/>
        <v>AP2</v>
      </c>
      <c r="C18" s="7">
        <v>30</v>
      </c>
      <c r="D18" s="8">
        <v>1</v>
      </c>
      <c r="E18" s="8"/>
      <c r="F18" s="8">
        <f t="shared" si="3"/>
        <v>250</v>
      </c>
      <c r="G18" s="7" t="s">
        <v>725</v>
      </c>
      <c r="H18" s="8">
        <v>1</v>
      </c>
      <c r="I18" s="8">
        <v>2</v>
      </c>
      <c r="J18" s="8"/>
      <c r="K18" s="8">
        <v>76</v>
      </c>
      <c r="L18" s="8">
        <v>68</v>
      </c>
      <c r="M18" s="8">
        <v>52</v>
      </c>
      <c r="N18" s="4" t="str">
        <f t="shared" ca="1" si="0"/>
        <v>15AP2</v>
      </c>
    </row>
    <row r="19" spans="1:14">
      <c r="A19" s="7" t="s">
        <v>726</v>
      </c>
      <c r="B19" s="8" t="str">
        <f t="shared" si="2"/>
        <v>AP2</v>
      </c>
      <c r="C19" s="7">
        <v>20</v>
      </c>
      <c r="D19" s="8">
        <v>1</v>
      </c>
      <c r="E19" s="8"/>
      <c r="F19" s="8">
        <f t="shared" si="3"/>
        <v>250</v>
      </c>
      <c r="G19" s="7" t="s">
        <v>679</v>
      </c>
      <c r="H19" s="8">
        <v>2</v>
      </c>
      <c r="I19" s="8">
        <v>2</v>
      </c>
      <c r="J19" s="8"/>
      <c r="K19" s="8">
        <v>109</v>
      </c>
      <c r="L19" s="8">
        <v>101</v>
      </c>
      <c r="M19" s="8">
        <v>92</v>
      </c>
      <c r="N19" s="4" t="str">
        <f t="shared" ca="1" si="0"/>
        <v>15AP2</v>
      </c>
    </row>
    <row r="20" spans="1:14">
      <c r="A20" s="8" t="s">
        <v>727</v>
      </c>
      <c r="B20" s="8" t="str">
        <f t="shared" si="2"/>
        <v>AP2</v>
      </c>
      <c r="C20" s="8">
        <v>100</v>
      </c>
      <c r="D20" s="8">
        <v>1</v>
      </c>
      <c r="E20" s="8"/>
      <c r="F20" s="8">
        <f t="shared" si="3"/>
        <v>250</v>
      </c>
      <c r="G20" s="8"/>
      <c r="H20" s="8">
        <v>3</v>
      </c>
      <c r="I20" s="8">
        <v>2</v>
      </c>
      <c r="J20" s="8"/>
      <c r="K20" s="8">
        <v>44</v>
      </c>
      <c r="L20" s="8">
        <v>32</v>
      </c>
      <c r="M20" s="8">
        <v>15</v>
      </c>
      <c r="N20" s="4" t="str">
        <f t="shared" ca="1" si="0"/>
        <v>15AP2</v>
      </c>
    </row>
    <row r="21" spans="1:14">
      <c r="A21" s="8" t="s">
        <v>728</v>
      </c>
      <c r="B21" s="8" t="str">
        <f t="shared" si="2"/>
        <v>AP2</v>
      </c>
      <c r="C21" s="8">
        <v>20</v>
      </c>
      <c r="D21" s="8">
        <v>-1</v>
      </c>
      <c r="E21" s="8">
        <v>0</v>
      </c>
      <c r="F21" s="8">
        <f t="shared" si="3"/>
        <v>250</v>
      </c>
      <c r="G21" s="8"/>
      <c r="H21" s="8">
        <v>0</v>
      </c>
      <c r="I21" s="8">
        <v>2</v>
      </c>
      <c r="J21" s="8"/>
      <c r="K21" s="8">
        <v>-1</v>
      </c>
      <c r="L21" s="8">
        <v>-1</v>
      </c>
      <c r="M21" s="8">
        <v>-1</v>
      </c>
      <c r="N21" s="4" t="str">
        <f t="shared" ca="1" si="0"/>
        <v>15AP2</v>
      </c>
    </row>
    <row r="22" spans="1:14">
      <c r="A22" s="8" t="s">
        <v>729</v>
      </c>
      <c r="B22" s="8" t="str">
        <f t="shared" si="2"/>
        <v>AP2</v>
      </c>
      <c r="C22" s="8">
        <v>40</v>
      </c>
      <c r="D22" s="8">
        <v>-1</v>
      </c>
      <c r="E22" s="8">
        <v>0</v>
      </c>
      <c r="F22" s="8">
        <f t="shared" si="3"/>
        <v>250</v>
      </c>
      <c r="G22" s="8"/>
      <c r="H22" s="8">
        <v>0</v>
      </c>
      <c r="I22" s="8">
        <v>2</v>
      </c>
      <c r="J22" s="8"/>
      <c r="K22" s="8">
        <v>-1</v>
      </c>
      <c r="L22" s="8">
        <v>-1</v>
      </c>
      <c r="M22" s="8">
        <v>-1</v>
      </c>
      <c r="N22" s="4" t="str">
        <f t="shared" ca="1" si="0"/>
        <v>15AP2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2"/>
  <sheetViews>
    <sheetView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730</v>
      </c>
      <c r="B2" s="6" t="s">
        <v>27</v>
      </c>
      <c r="C2" s="6">
        <v>20</v>
      </c>
      <c r="D2" s="4">
        <v>0</v>
      </c>
      <c r="E2" s="4"/>
      <c r="F2" s="4">
        <v>75</v>
      </c>
      <c r="G2" s="5" t="s">
        <v>731</v>
      </c>
      <c r="H2" s="4">
        <v>1</v>
      </c>
      <c r="I2" s="4">
        <v>1</v>
      </c>
      <c r="J2" s="4"/>
      <c r="K2" s="4">
        <v>109</v>
      </c>
      <c r="L2" s="4"/>
      <c r="M2" s="4">
        <v>108</v>
      </c>
      <c r="N2" s="4" t="str">
        <f t="shared" ref="N2:N22" ca="1" si="0">_xlfn.CONCAT(_xlfn.SHEET(A1),B2)</f>
        <v>16AP1</v>
      </c>
    </row>
    <row r="3" spans="1:14">
      <c r="A3" s="5" t="s">
        <v>732</v>
      </c>
      <c r="B3" s="6" t="str">
        <f t="shared" ref="B3:B9" si="1">B2</f>
        <v>AP1</v>
      </c>
      <c r="C3" s="5">
        <v>40</v>
      </c>
      <c r="D3" s="6">
        <v>0</v>
      </c>
      <c r="E3" s="6"/>
      <c r="F3" s="4">
        <f>F2</f>
        <v>75</v>
      </c>
      <c r="G3" s="4" t="s">
        <v>733</v>
      </c>
      <c r="H3" s="4">
        <v>1</v>
      </c>
      <c r="I3" s="4">
        <v>1</v>
      </c>
      <c r="J3" s="4"/>
      <c r="K3" s="4">
        <v>76</v>
      </c>
      <c r="L3" s="4"/>
      <c r="M3" s="4">
        <v>51</v>
      </c>
      <c r="N3" s="4" t="str">
        <f t="shared" ca="1" si="0"/>
        <v>16AP1</v>
      </c>
    </row>
    <row r="4" spans="1:14">
      <c r="A4" s="5" t="s">
        <v>734</v>
      </c>
      <c r="B4" s="6" t="str">
        <f t="shared" si="1"/>
        <v>AP1</v>
      </c>
      <c r="C4" s="6">
        <v>10</v>
      </c>
      <c r="D4" s="6">
        <v>0</v>
      </c>
      <c r="E4" s="6"/>
      <c r="F4" s="4">
        <f>F3</f>
        <v>75</v>
      </c>
      <c r="G4" s="4"/>
      <c r="H4" s="4">
        <v>1</v>
      </c>
      <c r="I4" s="4">
        <v>1</v>
      </c>
      <c r="J4" s="4"/>
      <c r="K4" s="4">
        <v>236</v>
      </c>
      <c r="L4" s="4"/>
      <c r="M4" s="4">
        <v>210</v>
      </c>
      <c r="N4" s="4" t="str">
        <f t="shared" ca="1" si="0"/>
        <v>16AP1</v>
      </c>
    </row>
    <row r="5" spans="1:14">
      <c r="A5" s="4" t="s">
        <v>735</v>
      </c>
      <c r="B5" s="6" t="str">
        <f t="shared" si="1"/>
        <v>AP1</v>
      </c>
      <c r="C5" s="4">
        <v>5</v>
      </c>
      <c r="D5" s="4">
        <v>0</v>
      </c>
      <c r="E5" s="4"/>
      <c r="F5" s="4">
        <f>F4</f>
        <v>75</v>
      </c>
      <c r="G5" s="4"/>
      <c r="H5" s="4">
        <v>1</v>
      </c>
      <c r="I5" s="4">
        <v>1</v>
      </c>
      <c r="J5" s="4"/>
      <c r="K5" s="4">
        <v>428</v>
      </c>
      <c r="L5" s="4"/>
      <c r="M5" s="4">
        <v>9999</v>
      </c>
      <c r="N5" s="4" t="str">
        <f t="shared" ca="1" si="0"/>
        <v>16AP1</v>
      </c>
    </row>
    <row r="6" spans="1:14">
      <c r="A6" s="4" t="s">
        <v>736</v>
      </c>
      <c r="B6" s="6" t="str">
        <f t="shared" si="1"/>
        <v>AP1</v>
      </c>
      <c r="C6" s="4">
        <v>30</v>
      </c>
      <c r="D6" s="4">
        <v>0</v>
      </c>
      <c r="E6" s="4"/>
      <c r="F6" s="4">
        <f>F5</f>
        <v>75</v>
      </c>
      <c r="G6" s="4" t="s">
        <v>737</v>
      </c>
      <c r="H6" s="4">
        <v>1</v>
      </c>
      <c r="I6" s="4">
        <v>1</v>
      </c>
      <c r="J6" s="4"/>
      <c r="K6" s="4">
        <v>76</v>
      </c>
      <c r="L6" s="4"/>
      <c r="M6" s="4">
        <v>71</v>
      </c>
      <c r="N6" s="4" t="str">
        <f t="shared" ca="1" si="0"/>
        <v>16AP1</v>
      </c>
    </row>
    <row r="7" spans="1:14">
      <c r="A7" s="4" t="s">
        <v>738</v>
      </c>
      <c r="B7" s="6" t="str">
        <f t="shared" si="1"/>
        <v>AP1</v>
      </c>
      <c r="C7" s="4">
        <v>20</v>
      </c>
      <c r="D7" s="4">
        <v>0</v>
      </c>
      <c r="E7" s="4"/>
      <c r="F7" s="4">
        <v>75</v>
      </c>
      <c r="G7" s="4" t="s">
        <v>737</v>
      </c>
      <c r="H7" s="4">
        <v>2</v>
      </c>
      <c r="I7" s="4">
        <v>1</v>
      </c>
      <c r="J7" s="4"/>
      <c r="K7" s="4">
        <v>108</v>
      </c>
      <c r="L7" s="4"/>
      <c r="M7" s="4">
        <v>115</v>
      </c>
      <c r="N7" s="4" t="str">
        <f t="shared" ca="1" si="0"/>
        <v>16AP1</v>
      </c>
    </row>
    <row r="8" spans="1:14">
      <c r="A8" s="4" t="s">
        <v>739</v>
      </c>
      <c r="B8" s="6" t="str">
        <f t="shared" si="1"/>
        <v>AP1</v>
      </c>
      <c r="C8" s="4">
        <v>100</v>
      </c>
      <c r="D8" s="4">
        <v>0</v>
      </c>
      <c r="E8" s="4"/>
      <c r="F8" s="4">
        <v>75</v>
      </c>
      <c r="G8" s="4" t="s">
        <v>740</v>
      </c>
      <c r="H8" s="4">
        <v>0</v>
      </c>
      <c r="I8" s="4">
        <v>1</v>
      </c>
      <c r="J8" s="4"/>
      <c r="K8" s="4">
        <v>77</v>
      </c>
      <c r="L8" s="4"/>
      <c r="M8" s="4">
        <v>29</v>
      </c>
      <c r="N8" s="4" t="str">
        <f t="shared" ca="1" si="0"/>
        <v>16AP1</v>
      </c>
    </row>
    <row r="9" spans="1:14">
      <c r="A9" s="4" t="s">
        <v>741</v>
      </c>
      <c r="B9" s="6" t="str">
        <f t="shared" si="1"/>
        <v>AP1</v>
      </c>
      <c r="C9" s="4">
        <v>20</v>
      </c>
      <c r="D9" s="4">
        <v>-1</v>
      </c>
      <c r="E9" s="4">
        <v>0</v>
      </c>
      <c r="F9" s="4">
        <v>75</v>
      </c>
      <c r="G9" s="4"/>
      <c r="H9" s="4">
        <v>0</v>
      </c>
      <c r="I9" s="4">
        <v>1</v>
      </c>
      <c r="J9" s="4"/>
      <c r="K9" s="4">
        <v>-1</v>
      </c>
      <c r="L9" s="4"/>
      <c r="M9" s="4">
        <v>-1</v>
      </c>
      <c r="N9" s="4" t="str">
        <f t="shared" ca="1" si="0"/>
        <v>16AP1</v>
      </c>
    </row>
    <row r="10" spans="1:14">
      <c r="A10" s="7" t="s">
        <v>742</v>
      </c>
      <c r="B10" s="8" t="s">
        <v>17</v>
      </c>
      <c r="C10" s="7">
        <v>5</v>
      </c>
      <c r="D10" s="8">
        <v>0</v>
      </c>
      <c r="E10" s="8"/>
      <c r="F10" s="8">
        <v>150</v>
      </c>
      <c r="G10" s="7"/>
      <c r="H10" s="8">
        <v>1</v>
      </c>
      <c r="I10" s="8">
        <v>2</v>
      </c>
      <c r="J10" s="8"/>
      <c r="K10" s="8">
        <v>429</v>
      </c>
      <c r="L10" s="8"/>
      <c r="M10" s="8">
        <v>9999</v>
      </c>
      <c r="N10" s="4" t="str">
        <f t="shared" ca="1" si="0"/>
        <v>16AP2</v>
      </c>
    </row>
    <row r="11" spans="1:14">
      <c r="A11" s="7" t="s">
        <v>743</v>
      </c>
      <c r="B11" s="8" t="str">
        <f>B10</f>
        <v>AP2</v>
      </c>
      <c r="C11" s="7">
        <v>40</v>
      </c>
      <c r="D11" s="8">
        <v>1</v>
      </c>
      <c r="E11" s="8"/>
      <c r="F11" s="8">
        <f>F10</f>
        <v>150</v>
      </c>
      <c r="G11" s="7"/>
      <c r="H11" s="8">
        <v>1</v>
      </c>
      <c r="I11" s="8">
        <v>2</v>
      </c>
      <c r="J11" s="8"/>
      <c r="K11" s="8">
        <v>76</v>
      </c>
      <c r="L11" s="8"/>
      <c r="M11" s="8">
        <v>37</v>
      </c>
      <c r="N11" s="4" t="str">
        <f t="shared" ca="1" si="0"/>
        <v>16AP2</v>
      </c>
    </row>
    <row r="12" spans="1:14">
      <c r="A12" s="7" t="s">
        <v>744</v>
      </c>
      <c r="B12" s="8" t="str">
        <f>B11</f>
        <v>AP2</v>
      </c>
      <c r="C12" s="7">
        <v>20</v>
      </c>
      <c r="D12" s="8">
        <v>0</v>
      </c>
      <c r="E12" s="8">
        <v>1</v>
      </c>
      <c r="F12" s="8">
        <f>F11</f>
        <v>150</v>
      </c>
      <c r="G12" s="8" t="s">
        <v>745</v>
      </c>
      <c r="H12" s="8">
        <v>1</v>
      </c>
      <c r="I12" s="8">
        <v>2</v>
      </c>
      <c r="J12" s="8"/>
      <c r="K12" s="8">
        <v>109</v>
      </c>
      <c r="L12" s="8"/>
      <c r="M12" s="8">
        <v>107</v>
      </c>
      <c r="N12" s="4" t="str">
        <f t="shared" ca="1" si="0"/>
        <v>16AP2</v>
      </c>
    </row>
    <row r="13" spans="1:14">
      <c r="A13" s="7" t="s">
        <v>746</v>
      </c>
      <c r="B13" s="8" t="str">
        <f>B12</f>
        <v>AP2</v>
      </c>
      <c r="C13" s="7">
        <v>10</v>
      </c>
      <c r="D13" s="8">
        <v>0</v>
      </c>
      <c r="E13" s="8">
        <v>1</v>
      </c>
      <c r="F13" s="8">
        <f>F12</f>
        <v>150</v>
      </c>
      <c r="G13" s="7" t="s">
        <v>747</v>
      </c>
      <c r="H13" s="8">
        <v>1</v>
      </c>
      <c r="I13" s="8">
        <v>2</v>
      </c>
      <c r="J13" s="8"/>
      <c r="K13" s="8">
        <v>236</v>
      </c>
      <c r="L13" s="8"/>
      <c r="M13" s="8">
        <v>204</v>
      </c>
      <c r="N13" s="4" t="str">
        <f t="shared" ca="1" si="0"/>
        <v>16AP2</v>
      </c>
    </row>
    <row r="14" spans="1:14">
      <c r="A14" s="7" t="s">
        <v>748</v>
      </c>
      <c r="B14" s="8" t="str">
        <f>B13</f>
        <v>AP2</v>
      </c>
      <c r="C14" s="7">
        <v>30</v>
      </c>
      <c r="D14" s="8">
        <v>1</v>
      </c>
      <c r="E14" s="8"/>
      <c r="F14" s="8">
        <f>F13</f>
        <v>150</v>
      </c>
      <c r="G14" s="7"/>
      <c r="H14" s="8">
        <v>1</v>
      </c>
      <c r="I14" s="8">
        <v>2</v>
      </c>
      <c r="J14" s="8"/>
      <c r="K14" s="8">
        <v>76</v>
      </c>
      <c r="L14" s="8"/>
      <c r="M14" s="8">
        <v>62</v>
      </c>
      <c r="N14" s="4" t="str">
        <f t="shared" ca="1" si="0"/>
        <v>16AP2</v>
      </c>
    </row>
    <row r="15" spans="1:14">
      <c r="A15" s="7" t="s">
        <v>749</v>
      </c>
      <c r="B15" s="8" t="str">
        <f>B13</f>
        <v>AP2</v>
      </c>
      <c r="C15" s="7">
        <v>5</v>
      </c>
      <c r="D15" s="8">
        <v>0</v>
      </c>
      <c r="E15" s="8"/>
      <c r="F15" s="8">
        <f>F13</f>
        <v>150</v>
      </c>
      <c r="G15" s="7"/>
      <c r="H15" s="8">
        <v>2</v>
      </c>
      <c r="I15" s="8">
        <v>2</v>
      </c>
      <c r="J15" s="8"/>
      <c r="K15" s="8">
        <v>428</v>
      </c>
      <c r="L15" s="8"/>
      <c r="M15" s="8">
        <v>9999</v>
      </c>
      <c r="N15" s="4" t="str">
        <f t="shared" ca="1" si="0"/>
        <v>16AP2</v>
      </c>
    </row>
    <row r="16" spans="1:14">
      <c r="A16" s="7" t="s">
        <v>750</v>
      </c>
      <c r="B16" s="8" t="str">
        <f>B14</f>
        <v>AP2</v>
      </c>
      <c r="C16" s="7">
        <v>20</v>
      </c>
      <c r="D16" s="8">
        <v>-1</v>
      </c>
      <c r="E16" s="8">
        <v>0</v>
      </c>
      <c r="F16" s="8">
        <f>F14</f>
        <v>150</v>
      </c>
      <c r="G16" s="7"/>
      <c r="H16" s="8">
        <v>0</v>
      </c>
      <c r="I16" s="8">
        <v>2</v>
      </c>
      <c r="J16" s="8"/>
      <c r="K16" s="8">
        <v>-1</v>
      </c>
      <c r="L16" s="8"/>
      <c r="M16" s="8">
        <v>-1</v>
      </c>
      <c r="N16" s="4" t="str">
        <f t="shared" ca="1" si="0"/>
        <v>16AP2</v>
      </c>
    </row>
    <row r="17" spans="1:14">
      <c r="A17" s="8" t="s">
        <v>751</v>
      </c>
      <c r="B17" s="8" t="s">
        <v>41</v>
      </c>
      <c r="C17" s="8">
        <v>10</v>
      </c>
      <c r="D17" s="8">
        <v>0</v>
      </c>
      <c r="E17" s="8"/>
      <c r="F17" s="8">
        <v>75</v>
      </c>
      <c r="G17" s="8"/>
      <c r="H17" s="8">
        <v>1</v>
      </c>
      <c r="I17" s="8">
        <v>4</v>
      </c>
      <c r="J17" s="8"/>
      <c r="K17" s="8">
        <v>237</v>
      </c>
      <c r="L17" s="8"/>
      <c r="M17" s="8">
        <v>9999</v>
      </c>
      <c r="N17" s="4" t="str">
        <f t="shared" ca="1" si="0"/>
        <v>16AP4</v>
      </c>
    </row>
    <row r="18" spans="1:14">
      <c r="A18" s="8" t="s">
        <v>752</v>
      </c>
      <c r="B18" s="8" t="str">
        <f>B17</f>
        <v>AP4</v>
      </c>
      <c r="C18" s="8">
        <v>20</v>
      </c>
      <c r="D18" s="8">
        <v>0</v>
      </c>
      <c r="E18" s="8">
        <v>1</v>
      </c>
      <c r="F18" s="8">
        <f>F17</f>
        <v>75</v>
      </c>
      <c r="G18" s="8" t="s">
        <v>753</v>
      </c>
      <c r="H18" s="8">
        <v>1</v>
      </c>
      <c r="I18" s="8">
        <v>4</v>
      </c>
      <c r="J18" s="8"/>
      <c r="K18" s="8">
        <v>108</v>
      </c>
      <c r="L18" s="8"/>
      <c r="M18" s="8">
        <v>124</v>
      </c>
      <c r="N18" s="4" t="str">
        <f t="shared" ca="1" si="0"/>
        <v>16AP4</v>
      </c>
    </row>
    <row r="19" spans="1:14">
      <c r="A19" s="8" t="s">
        <v>754</v>
      </c>
      <c r="B19" s="8" t="str">
        <f>B18</f>
        <v>AP4</v>
      </c>
      <c r="C19" s="8">
        <v>5</v>
      </c>
      <c r="D19" s="8">
        <v>0</v>
      </c>
      <c r="E19" s="8"/>
      <c r="F19" s="8">
        <f>F18</f>
        <v>75</v>
      </c>
      <c r="G19" s="8" t="s">
        <v>755</v>
      </c>
      <c r="H19" s="8">
        <v>1</v>
      </c>
      <c r="I19" s="8">
        <v>4</v>
      </c>
      <c r="J19" s="8"/>
      <c r="K19" s="8">
        <v>428</v>
      </c>
      <c r="L19" s="8"/>
      <c r="M19" s="8">
        <v>443</v>
      </c>
      <c r="N19" s="4" t="str">
        <f t="shared" ca="1" si="0"/>
        <v>16AP4</v>
      </c>
    </row>
    <row r="20" spans="1:14">
      <c r="A20" s="8" t="s">
        <v>756</v>
      </c>
      <c r="B20" s="8" t="str">
        <f>B19</f>
        <v>AP4</v>
      </c>
      <c r="C20" s="8">
        <v>40</v>
      </c>
      <c r="D20" s="8">
        <v>1</v>
      </c>
      <c r="E20" s="8">
        <v>0</v>
      </c>
      <c r="F20" s="8">
        <f>F19</f>
        <v>75</v>
      </c>
      <c r="G20" s="8" t="s">
        <v>757</v>
      </c>
      <c r="H20" s="8">
        <v>1</v>
      </c>
      <c r="I20" s="8">
        <v>4</v>
      </c>
      <c r="J20" s="8"/>
      <c r="K20" s="8">
        <v>77</v>
      </c>
      <c r="L20" s="8"/>
      <c r="M20" s="8">
        <v>53</v>
      </c>
      <c r="N20" s="4" t="str">
        <f t="shared" ca="1" si="0"/>
        <v>16AP4</v>
      </c>
    </row>
    <row r="21" spans="1:14">
      <c r="A21" s="8" t="s">
        <v>758</v>
      </c>
      <c r="B21" s="8" t="str">
        <f>B20</f>
        <v>AP4</v>
      </c>
      <c r="C21" s="8">
        <v>30</v>
      </c>
      <c r="D21" s="8">
        <v>0</v>
      </c>
      <c r="E21" s="8">
        <v>1</v>
      </c>
      <c r="F21" s="8">
        <f>F20</f>
        <v>75</v>
      </c>
      <c r="G21" s="8" t="s">
        <v>759</v>
      </c>
      <c r="H21" s="8">
        <v>1</v>
      </c>
      <c r="I21" s="8">
        <v>4</v>
      </c>
      <c r="J21" s="8"/>
      <c r="K21" s="8">
        <v>77</v>
      </c>
      <c r="L21" s="8"/>
      <c r="M21" s="8">
        <v>83</v>
      </c>
      <c r="N21" s="4" t="str">
        <f t="shared" ca="1" si="0"/>
        <v>16AP4</v>
      </c>
    </row>
    <row r="22" spans="1:14">
      <c r="A22" s="18" t="s">
        <v>760</v>
      </c>
      <c r="B22" s="18" t="str">
        <f>B21</f>
        <v>AP4</v>
      </c>
      <c r="C22" s="18">
        <v>20</v>
      </c>
      <c r="D22" s="18">
        <v>0</v>
      </c>
      <c r="E22" s="18"/>
      <c r="F22" s="18">
        <f>F21</f>
        <v>75</v>
      </c>
      <c r="G22" s="18"/>
      <c r="H22" s="18">
        <v>2</v>
      </c>
      <c r="I22" s="18">
        <v>4</v>
      </c>
      <c r="J22" s="18"/>
      <c r="K22" s="18">
        <v>108</v>
      </c>
      <c r="L22" s="18"/>
      <c r="M22" s="18">
        <v>124</v>
      </c>
      <c r="N22" s="4" t="str">
        <f t="shared" ca="1" si="0"/>
        <v>16AP4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"/>
  <sheetViews>
    <sheetView zoomScaleNormal="100" workbookViewId="0">
      <selection activeCell="N1" sqref="N1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761</v>
      </c>
      <c r="B2" s="6" t="s">
        <v>27</v>
      </c>
      <c r="C2" s="6">
        <v>10</v>
      </c>
      <c r="D2" s="4">
        <v>0</v>
      </c>
      <c r="E2" s="4">
        <v>0</v>
      </c>
      <c r="F2" s="4">
        <v>75</v>
      </c>
      <c r="G2" s="5" t="s">
        <v>762</v>
      </c>
      <c r="H2" s="4">
        <v>1</v>
      </c>
      <c r="I2" s="4">
        <v>1</v>
      </c>
      <c r="J2" s="4">
        <f>MAX(I:I)</f>
        <v>1</v>
      </c>
      <c r="K2" s="4">
        <v>235</v>
      </c>
      <c r="L2" s="4"/>
      <c r="M2" s="4">
        <v>9999</v>
      </c>
      <c r="N2" s="4" t="str">
        <f t="shared" ref="N2:N8" ca="1" si="0">_xlfn.CONCAT(_xlfn.SHEET(A1),B2)</f>
        <v>17AP1</v>
      </c>
    </row>
    <row r="3" spans="1:14">
      <c r="A3" s="5" t="s">
        <v>763</v>
      </c>
      <c r="B3" s="6" t="str">
        <f>B2</f>
        <v>AP1</v>
      </c>
      <c r="C3" s="5">
        <v>40</v>
      </c>
      <c r="D3" s="6">
        <v>0</v>
      </c>
      <c r="E3" s="6">
        <v>1</v>
      </c>
      <c r="F3" s="4">
        <f>F2</f>
        <v>75</v>
      </c>
      <c r="G3" s="4"/>
      <c r="H3" s="4">
        <v>1</v>
      </c>
      <c r="I3" s="4">
        <v>1</v>
      </c>
      <c r="J3" s="4"/>
      <c r="K3" s="4">
        <v>76</v>
      </c>
      <c r="L3" s="4"/>
      <c r="M3" s="4">
        <v>59</v>
      </c>
      <c r="N3" s="4" t="str">
        <f t="shared" ca="1" si="0"/>
        <v>17AP1</v>
      </c>
    </row>
    <row r="4" spans="1:14">
      <c r="A4" s="5" t="s">
        <v>764</v>
      </c>
      <c r="B4" s="6" t="str">
        <f>B3</f>
        <v>AP1</v>
      </c>
      <c r="C4" s="6">
        <v>5</v>
      </c>
      <c r="D4" s="6">
        <v>0</v>
      </c>
      <c r="E4" s="6">
        <v>0</v>
      </c>
      <c r="F4" s="4">
        <f>F3</f>
        <v>75</v>
      </c>
      <c r="G4" s="4"/>
      <c r="H4" s="4">
        <v>1</v>
      </c>
      <c r="I4" s="4">
        <v>1</v>
      </c>
      <c r="J4" s="4"/>
      <c r="K4" s="4">
        <v>429</v>
      </c>
      <c r="L4" s="4"/>
      <c r="M4" s="4">
        <v>9999</v>
      </c>
      <c r="N4" s="4" t="str">
        <f t="shared" ca="1" si="0"/>
        <v>17AP1</v>
      </c>
    </row>
    <row r="5" spans="1:14">
      <c r="A5" s="4" t="s">
        <v>765</v>
      </c>
      <c r="B5" s="6" t="str">
        <f>B4</f>
        <v>AP1</v>
      </c>
      <c r="C5" s="4">
        <v>20</v>
      </c>
      <c r="D5" s="4">
        <v>0</v>
      </c>
      <c r="E5" s="4">
        <v>0</v>
      </c>
      <c r="F5" s="4">
        <f>F4</f>
        <v>75</v>
      </c>
      <c r="G5" s="4" t="s">
        <v>766</v>
      </c>
      <c r="H5" s="4">
        <v>1</v>
      </c>
      <c r="I5" s="4">
        <v>1</v>
      </c>
      <c r="J5" s="4"/>
      <c r="K5" s="4">
        <v>109</v>
      </c>
      <c r="L5" s="4"/>
      <c r="M5" s="4">
        <v>9999</v>
      </c>
      <c r="N5" s="4" t="str">
        <f t="shared" ca="1" si="0"/>
        <v>17AP1</v>
      </c>
    </row>
    <row r="6" spans="1:14">
      <c r="A6" s="4" t="s">
        <v>767</v>
      </c>
      <c r="B6" s="6" t="str">
        <f>B5</f>
        <v>AP1</v>
      </c>
      <c r="C6" s="4">
        <v>30</v>
      </c>
      <c r="D6" s="4">
        <v>0</v>
      </c>
      <c r="E6" s="4">
        <v>1</v>
      </c>
      <c r="F6" s="4">
        <f>F5</f>
        <v>75</v>
      </c>
      <c r="G6" s="4" t="s">
        <v>768</v>
      </c>
      <c r="H6" s="4">
        <v>1</v>
      </c>
      <c r="I6" s="4">
        <v>1</v>
      </c>
      <c r="J6" s="4"/>
      <c r="K6" s="4">
        <v>76</v>
      </c>
      <c r="L6" s="4"/>
      <c r="M6" s="4">
        <v>75</v>
      </c>
      <c r="N6" s="4" t="str">
        <f t="shared" ca="1" si="0"/>
        <v>17AP1</v>
      </c>
    </row>
    <row r="7" spans="1:14">
      <c r="A7" s="4" t="s">
        <v>769</v>
      </c>
      <c r="B7" s="6" t="str">
        <f>B6</f>
        <v>AP1</v>
      </c>
      <c r="C7" s="4">
        <v>10</v>
      </c>
      <c r="D7" s="4">
        <v>0</v>
      </c>
      <c r="E7" s="4">
        <v>0</v>
      </c>
      <c r="F7" s="4">
        <v>75</v>
      </c>
      <c r="G7" s="4"/>
      <c r="H7" s="4">
        <v>2</v>
      </c>
      <c r="I7" s="4">
        <v>1</v>
      </c>
      <c r="J7" s="4"/>
      <c r="K7" s="4">
        <v>235</v>
      </c>
      <c r="L7" s="4"/>
      <c r="M7" s="4">
        <v>9999</v>
      </c>
      <c r="N7" s="4" t="str">
        <f t="shared" ca="1" si="0"/>
        <v>17AP1</v>
      </c>
    </row>
    <row r="8" spans="1:14">
      <c r="A8" s="4" t="s">
        <v>770</v>
      </c>
      <c r="B8" s="6" t="s">
        <v>27</v>
      </c>
      <c r="C8" s="4">
        <v>20</v>
      </c>
      <c r="D8" s="4">
        <v>-1</v>
      </c>
      <c r="E8" s="4">
        <v>0</v>
      </c>
      <c r="F8" s="4">
        <v>75</v>
      </c>
      <c r="G8" s="4"/>
      <c r="H8" s="4">
        <v>0</v>
      </c>
      <c r="I8" s="4">
        <v>1</v>
      </c>
      <c r="J8" s="4"/>
      <c r="K8" s="4">
        <v>-1</v>
      </c>
      <c r="L8" s="4"/>
      <c r="M8" s="4">
        <v>-1</v>
      </c>
      <c r="N8" s="4" t="str">
        <f t="shared" ca="1" si="0"/>
        <v>17AP1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9"/>
  <sheetViews>
    <sheetView topLeftCell="H1"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771</v>
      </c>
      <c r="B2" s="6" t="s">
        <v>24</v>
      </c>
      <c r="C2" s="6">
        <v>20</v>
      </c>
      <c r="D2" s="4">
        <v>1</v>
      </c>
      <c r="E2" s="4"/>
      <c r="F2" s="4">
        <v>150</v>
      </c>
      <c r="G2" s="5" t="s">
        <v>731</v>
      </c>
      <c r="H2" s="4">
        <v>1</v>
      </c>
      <c r="I2" s="4">
        <v>1</v>
      </c>
      <c r="J2" s="4"/>
      <c r="K2" s="4">
        <v>108</v>
      </c>
      <c r="L2" s="4"/>
      <c r="M2" s="4">
        <v>82</v>
      </c>
      <c r="N2" s="4" t="str">
        <f t="shared" ref="N2:N29" ca="1" si="0">_xlfn.CONCAT(_xlfn.SHEET(A1),B2)</f>
        <v>18M1</v>
      </c>
    </row>
    <row r="3" spans="1:14">
      <c r="A3" s="5" t="s">
        <v>772</v>
      </c>
      <c r="B3" s="6" t="str">
        <f t="shared" ref="B3:B8" si="1">B2</f>
        <v>M1</v>
      </c>
      <c r="C3" s="5">
        <v>40</v>
      </c>
      <c r="D3" s="6">
        <v>1</v>
      </c>
      <c r="E3" s="6"/>
      <c r="F3" s="4">
        <f t="shared" ref="F3:F8" si="2">F2</f>
        <v>150</v>
      </c>
      <c r="G3" s="4"/>
      <c r="H3" s="4">
        <v>1</v>
      </c>
      <c r="I3" s="4">
        <v>1</v>
      </c>
      <c r="J3" s="4"/>
      <c r="K3" s="4">
        <v>77</v>
      </c>
      <c r="L3" s="4"/>
      <c r="M3" s="4">
        <v>33</v>
      </c>
      <c r="N3" s="4" t="str">
        <f t="shared" ca="1" si="0"/>
        <v>18M1</v>
      </c>
    </row>
    <row r="4" spans="1:14">
      <c r="A4" s="5" t="s">
        <v>773</v>
      </c>
      <c r="B4" s="6" t="str">
        <f t="shared" si="1"/>
        <v>M1</v>
      </c>
      <c r="C4" s="6">
        <v>10</v>
      </c>
      <c r="D4" s="6">
        <v>1</v>
      </c>
      <c r="E4" s="6"/>
      <c r="F4" s="4">
        <f t="shared" si="2"/>
        <v>150</v>
      </c>
      <c r="G4" s="4"/>
      <c r="H4" s="4">
        <v>1</v>
      </c>
      <c r="I4" s="4">
        <v>1</v>
      </c>
      <c r="J4" s="4"/>
      <c r="K4" s="4">
        <v>236</v>
      </c>
      <c r="L4" s="4"/>
      <c r="M4" s="4">
        <v>192</v>
      </c>
      <c r="N4" s="4" t="str">
        <f t="shared" ca="1" si="0"/>
        <v>18M1</v>
      </c>
    </row>
    <row r="5" spans="1:14">
      <c r="A5" s="4" t="s">
        <v>774</v>
      </c>
      <c r="B5" s="6" t="str">
        <f t="shared" si="1"/>
        <v>M1</v>
      </c>
      <c r="C5" s="4">
        <v>5</v>
      </c>
      <c r="D5" s="4">
        <v>0</v>
      </c>
      <c r="E5" s="4"/>
      <c r="F5" s="4">
        <f t="shared" si="2"/>
        <v>150</v>
      </c>
      <c r="G5" s="4" t="s">
        <v>775</v>
      </c>
      <c r="H5" s="4">
        <v>1</v>
      </c>
      <c r="I5" s="4">
        <v>1</v>
      </c>
      <c r="J5" s="4"/>
      <c r="K5" s="4">
        <v>429</v>
      </c>
      <c r="L5" s="4"/>
      <c r="M5" s="4">
        <v>406</v>
      </c>
      <c r="N5" s="4" t="str">
        <f t="shared" ca="1" si="0"/>
        <v>18M1</v>
      </c>
    </row>
    <row r="6" spans="1:14">
      <c r="A6" s="4" t="s">
        <v>776</v>
      </c>
      <c r="B6" s="6" t="str">
        <f t="shared" si="1"/>
        <v>M1</v>
      </c>
      <c r="C6" s="4">
        <v>30</v>
      </c>
      <c r="D6" s="4">
        <v>1</v>
      </c>
      <c r="E6" s="4"/>
      <c r="F6" s="4">
        <f t="shared" si="2"/>
        <v>150</v>
      </c>
      <c r="G6" s="4"/>
      <c r="H6" s="4">
        <v>1</v>
      </c>
      <c r="I6" s="4">
        <v>1</v>
      </c>
      <c r="J6" s="4"/>
      <c r="K6" s="4">
        <v>77</v>
      </c>
      <c r="L6" s="4"/>
      <c r="M6" s="4">
        <v>54</v>
      </c>
      <c r="N6" s="4" t="str">
        <f t="shared" ca="1" si="0"/>
        <v>18M1</v>
      </c>
    </row>
    <row r="7" spans="1:14">
      <c r="A7" s="4" t="s">
        <v>777</v>
      </c>
      <c r="B7" s="6" t="str">
        <f t="shared" si="1"/>
        <v>M1</v>
      </c>
      <c r="C7" s="4">
        <v>20</v>
      </c>
      <c r="D7" s="4">
        <v>1</v>
      </c>
      <c r="E7" s="4"/>
      <c r="F7" s="4">
        <f t="shared" si="2"/>
        <v>150</v>
      </c>
      <c r="G7" s="4"/>
      <c r="H7" s="4">
        <v>2</v>
      </c>
      <c r="I7" s="4">
        <v>1</v>
      </c>
      <c r="J7" s="4"/>
      <c r="K7" s="4">
        <v>108</v>
      </c>
      <c r="L7" s="4"/>
      <c r="M7" s="4">
        <v>90</v>
      </c>
      <c r="N7" s="4" t="str">
        <f t="shared" ca="1" si="0"/>
        <v>18M1</v>
      </c>
    </row>
    <row r="8" spans="1:14">
      <c r="A8" s="4" t="s">
        <v>778</v>
      </c>
      <c r="B8" s="6" t="str">
        <f t="shared" si="1"/>
        <v>M1</v>
      </c>
      <c r="C8" s="4">
        <v>20</v>
      </c>
      <c r="D8" s="4">
        <v>0</v>
      </c>
      <c r="E8" s="4">
        <v>-1</v>
      </c>
      <c r="F8" s="4">
        <f t="shared" si="2"/>
        <v>150</v>
      </c>
      <c r="G8" s="4"/>
      <c r="H8" s="4">
        <v>0</v>
      </c>
      <c r="I8" s="4">
        <v>1</v>
      </c>
      <c r="J8" s="4"/>
      <c r="K8" s="4">
        <v>-1</v>
      </c>
      <c r="L8" s="4"/>
      <c r="M8" s="4">
        <v>-1</v>
      </c>
      <c r="N8" s="4" t="str">
        <f t="shared" ca="1" si="0"/>
        <v>18M1</v>
      </c>
    </row>
    <row r="9" spans="1:14">
      <c r="A9" s="7" t="s">
        <v>779</v>
      </c>
      <c r="B9" s="8" t="s">
        <v>27</v>
      </c>
      <c r="C9" s="7">
        <v>40</v>
      </c>
      <c r="D9" s="8">
        <v>1</v>
      </c>
      <c r="E9" s="8"/>
      <c r="F9" s="8">
        <v>75</v>
      </c>
      <c r="G9" s="7" t="s">
        <v>780</v>
      </c>
      <c r="H9" s="8">
        <v>1</v>
      </c>
      <c r="I9" s="8">
        <v>2</v>
      </c>
      <c r="J9" s="8"/>
      <c r="K9" s="8">
        <v>77</v>
      </c>
      <c r="L9" s="8"/>
      <c r="M9" s="8">
        <v>55</v>
      </c>
      <c r="N9" s="4" t="str">
        <f t="shared" ca="1" si="0"/>
        <v>18AP1</v>
      </c>
    </row>
    <row r="10" spans="1:14">
      <c r="A10" s="7" t="s">
        <v>781</v>
      </c>
      <c r="B10" s="8" t="str">
        <f t="shared" ref="B10:B16" si="3">B9</f>
        <v>AP1</v>
      </c>
      <c r="C10" s="7">
        <v>5</v>
      </c>
      <c r="D10" s="8">
        <v>0</v>
      </c>
      <c r="E10" s="8">
        <v>0</v>
      </c>
      <c r="F10" s="8">
        <f t="shared" ref="F10:F16" si="4">F9</f>
        <v>75</v>
      </c>
      <c r="G10" s="7"/>
      <c r="H10" s="8">
        <v>1</v>
      </c>
      <c r="I10" s="8">
        <v>2</v>
      </c>
      <c r="J10" s="8"/>
      <c r="K10" s="8">
        <v>428</v>
      </c>
      <c r="L10" s="8"/>
      <c r="M10" s="8">
        <v>9999</v>
      </c>
      <c r="N10" s="4" t="str">
        <f t="shared" ca="1" si="0"/>
        <v>18AP1</v>
      </c>
    </row>
    <row r="11" spans="1:14">
      <c r="A11" s="7" t="s">
        <v>782</v>
      </c>
      <c r="B11" s="8" t="str">
        <f t="shared" si="3"/>
        <v>AP1</v>
      </c>
      <c r="C11" s="7">
        <v>10</v>
      </c>
      <c r="D11" s="8">
        <v>0</v>
      </c>
      <c r="E11" s="8"/>
      <c r="F11" s="8">
        <f t="shared" si="4"/>
        <v>75</v>
      </c>
      <c r="G11" s="8"/>
      <c r="H11" s="8">
        <v>1</v>
      </c>
      <c r="I11" s="8">
        <v>2</v>
      </c>
      <c r="J11" s="8"/>
      <c r="K11" s="8">
        <v>236</v>
      </c>
      <c r="L11" s="8"/>
      <c r="M11" s="8">
        <v>211</v>
      </c>
      <c r="N11" s="4" t="str">
        <f t="shared" ca="1" si="0"/>
        <v>18AP1</v>
      </c>
    </row>
    <row r="12" spans="1:14">
      <c r="A12" s="7" t="s">
        <v>783</v>
      </c>
      <c r="B12" s="8" t="str">
        <f t="shared" si="3"/>
        <v>AP1</v>
      </c>
      <c r="C12" s="7">
        <v>20</v>
      </c>
      <c r="D12" s="8">
        <v>1</v>
      </c>
      <c r="E12" s="8"/>
      <c r="F12" s="8">
        <f t="shared" si="4"/>
        <v>75</v>
      </c>
      <c r="G12" s="7"/>
      <c r="H12" s="8">
        <v>1</v>
      </c>
      <c r="I12" s="8">
        <v>2</v>
      </c>
      <c r="J12" s="8"/>
      <c r="K12" s="8">
        <v>109</v>
      </c>
      <c r="L12" s="8"/>
      <c r="M12" s="8">
        <v>102</v>
      </c>
      <c r="N12" s="4" t="str">
        <f t="shared" ca="1" si="0"/>
        <v>18AP1</v>
      </c>
    </row>
    <row r="13" spans="1:14">
      <c r="A13" s="7" t="s">
        <v>784</v>
      </c>
      <c r="B13" s="8" t="str">
        <f t="shared" si="3"/>
        <v>AP1</v>
      </c>
      <c r="C13" s="7">
        <v>30</v>
      </c>
      <c r="D13" s="8">
        <v>1</v>
      </c>
      <c r="E13" s="8"/>
      <c r="F13" s="8">
        <f t="shared" si="4"/>
        <v>75</v>
      </c>
      <c r="G13" s="7"/>
      <c r="H13" s="8">
        <v>1</v>
      </c>
      <c r="I13" s="8">
        <v>2</v>
      </c>
      <c r="J13" s="8"/>
      <c r="K13" s="8">
        <v>77</v>
      </c>
      <c r="L13" s="8"/>
      <c r="M13" s="8">
        <v>66</v>
      </c>
      <c r="N13" s="4" t="str">
        <f t="shared" ca="1" si="0"/>
        <v>18AP1</v>
      </c>
    </row>
    <row r="14" spans="1:14">
      <c r="A14" s="7" t="s">
        <v>785</v>
      </c>
      <c r="B14" s="8" t="str">
        <f t="shared" si="3"/>
        <v>AP1</v>
      </c>
      <c r="C14" s="7">
        <v>40</v>
      </c>
      <c r="D14" s="8">
        <v>1</v>
      </c>
      <c r="E14" s="8"/>
      <c r="F14" s="8">
        <f t="shared" si="4"/>
        <v>75</v>
      </c>
      <c r="G14" s="7"/>
      <c r="H14" s="8">
        <v>2</v>
      </c>
      <c r="I14" s="8">
        <v>2</v>
      </c>
      <c r="J14" s="8"/>
      <c r="K14" s="8">
        <v>77</v>
      </c>
      <c r="L14" s="8"/>
      <c r="M14" s="8">
        <v>54</v>
      </c>
      <c r="N14" s="4" t="str">
        <f t="shared" ca="1" si="0"/>
        <v>18AP1</v>
      </c>
    </row>
    <row r="15" spans="1:14">
      <c r="A15" s="7" t="s">
        <v>786</v>
      </c>
      <c r="B15" s="8" t="str">
        <f t="shared" si="3"/>
        <v>AP1</v>
      </c>
      <c r="C15" s="7">
        <v>100</v>
      </c>
      <c r="D15" s="8">
        <v>1</v>
      </c>
      <c r="E15" s="8"/>
      <c r="F15" s="8">
        <f t="shared" si="4"/>
        <v>75</v>
      </c>
      <c r="G15" s="7"/>
      <c r="H15" s="8">
        <v>0</v>
      </c>
      <c r="I15" s="8">
        <v>2</v>
      </c>
      <c r="J15" s="8"/>
      <c r="K15" s="8">
        <v>44</v>
      </c>
      <c r="L15" s="8"/>
      <c r="M15" s="8">
        <v>28</v>
      </c>
      <c r="N15" s="4" t="str">
        <f t="shared" ca="1" si="0"/>
        <v>18AP1</v>
      </c>
    </row>
    <row r="16" spans="1:14">
      <c r="A16" s="8" t="s">
        <v>787</v>
      </c>
      <c r="B16" s="8" t="str">
        <f t="shared" si="3"/>
        <v>AP1</v>
      </c>
      <c r="C16" s="7">
        <v>20</v>
      </c>
      <c r="D16" s="8">
        <v>-1</v>
      </c>
      <c r="E16" s="8">
        <v>0</v>
      </c>
      <c r="F16" s="8">
        <f t="shared" si="4"/>
        <v>75</v>
      </c>
      <c r="G16" s="7"/>
      <c r="H16" s="8">
        <v>0</v>
      </c>
      <c r="I16" s="8">
        <v>2</v>
      </c>
      <c r="J16" s="8"/>
      <c r="K16" s="8">
        <v>-1</v>
      </c>
      <c r="L16" s="8"/>
      <c r="M16" s="8">
        <v>-1</v>
      </c>
      <c r="N16" s="4" t="str">
        <f t="shared" ca="1" si="0"/>
        <v>18AP1</v>
      </c>
    </row>
    <row r="17" spans="1:14">
      <c r="A17" s="4" t="s">
        <v>788</v>
      </c>
      <c r="B17" s="3" t="s">
        <v>17</v>
      </c>
      <c r="C17" s="4">
        <v>10</v>
      </c>
      <c r="D17" s="4">
        <v>1</v>
      </c>
      <c r="E17" s="4"/>
      <c r="F17" s="3">
        <v>250</v>
      </c>
      <c r="G17" s="4"/>
      <c r="H17" s="4">
        <v>1</v>
      </c>
      <c r="I17" s="4">
        <v>3</v>
      </c>
      <c r="J17" s="4"/>
      <c r="K17" s="4">
        <v>236</v>
      </c>
      <c r="L17" s="4"/>
      <c r="M17" s="4">
        <v>188</v>
      </c>
      <c r="N17" s="4" t="str">
        <f t="shared" ca="1" si="0"/>
        <v>18AP2</v>
      </c>
    </row>
    <row r="18" spans="1:14">
      <c r="A18" s="4" t="s">
        <v>789</v>
      </c>
      <c r="B18" s="3" t="str">
        <f t="shared" ref="B18:B23" si="5">B17</f>
        <v>AP2</v>
      </c>
      <c r="C18" s="4">
        <v>5</v>
      </c>
      <c r="D18" s="4">
        <v>1</v>
      </c>
      <c r="E18" s="4"/>
      <c r="F18" s="3">
        <f t="shared" ref="F18:F23" si="6">F17</f>
        <v>250</v>
      </c>
      <c r="G18" s="4" t="s">
        <v>790</v>
      </c>
      <c r="H18" s="4">
        <v>1</v>
      </c>
      <c r="I18" s="4">
        <v>3</v>
      </c>
      <c r="J18" s="4"/>
      <c r="K18" s="4">
        <v>428</v>
      </c>
      <c r="L18" s="4"/>
      <c r="M18" s="4">
        <v>362</v>
      </c>
      <c r="N18" s="4" t="str">
        <f t="shared" ca="1" si="0"/>
        <v>18AP2</v>
      </c>
    </row>
    <row r="19" spans="1:14">
      <c r="A19" s="4" t="s">
        <v>791</v>
      </c>
      <c r="B19" s="3" t="str">
        <f t="shared" si="5"/>
        <v>AP2</v>
      </c>
      <c r="C19" s="4">
        <v>20</v>
      </c>
      <c r="D19" s="4">
        <v>1</v>
      </c>
      <c r="E19" s="4"/>
      <c r="F19" s="3">
        <f t="shared" si="6"/>
        <v>250</v>
      </c>
      <c r="G19" s="4"/>
      <c r="H19" s="4">
        <v>1</v>
      </c>
      <c r="I19" s="4">
        <v>3</v>
      </c>
      <c r="J19" s="4"/>
      <c r="K19" s="4">
        <v>108</v>
      </c>
      <c r="L19" s="4"/>
      <c r="M19" s="4">
        <v>82</v>
      </c>
      <c r="N19" s="4" t="str">
        <f t="shared" ca="1" si="0"/>
        <v>18AP2</v>
      </c>
    </row>
    <row r="20" spans="1:14">
      <c r="A20" s="4" t="s">
        <v>792</v>
      </c>
      <c r="B20" s="3" t="str">
        <f t="shared" si="5"/>
        <v>AP2</v>
      </c>
      <c r="C20" s="4">
        <v>40</v>
      </c>
      <c r="D20" s="4">
        <v>1</v>
      </c>
      <c r="E20" s="4"/>
      <c r="F20" s="3">
        <f t="shared" si="6"/>
        <v>250</v>
      </c>
      <c r="G20" s="4"/>
      <c r="H20" s="4">
        <v>1</v>
      </c>
      <c r="I20" s="4">
        <v>3</v>
      </c>
      <c r="J20" s="4"/>
      <c r="K20" s="4">
        <v>77</v>
      </c>
      <c r="L20" s="4"/>
      <c r="M20" s="4">
        <v>45</v>
      </c>
      <c r="N20" s="4" t="str">
        <f t="shared" ca="1" si="0"/>
        <v>18AP2</v>
      </c>
    </row>
    <row r="21" spans="1:14">
      <c r="A21" s="4" t="s">
        <v>793</v>
      </c>
      <c r="B21" s="3" t="str">
        <f t="shared" si="5"/>
        <v>AP2</v>
      </c>
      <c r="C21" s="4">
        <v>30</v>
      </c>
      <c r="D21" s="4">
        <v>1</v>
      </c>
      <c r="E21" s="4"/>
      <c r="F21" s="3">
        <f t="shared" si="6"/>
        <v>250</v>
      </c>
      <c r="G21" s="9"/>
      <c r="H21" s="4">
        <v>1</v>
      </c>
      <c r="I21" s="4">
        <v>3</v>
      </c>
      <c r="J21" s="4"/>
      <c r="K21" s="4">
        <v>77</v>
      </c>
      <c r="L21" s="4"/>
      <c r="M21" s="4">
        <v>60</v>
      </c>
      <c r="N21" s="4" t="str">
        <f t="shared" ca="1" si="0"/>
        <v>18AP2</v>
      </c>
    </row>
    <row r="22" spans="1:14">
      <c r="A22" s="4" t="s">
        <v>794</v>
      </c>
      <c r="B22" s="3" t="str">
        <f t="shared" si="5"/>
        <v>AP2</v>
      </c>
      <c r="C22" s="4">
        <v>10</v>
      </c>
      <c r="D22" s="4">
        <v>1</v>
      </c>
      <c r="E22" s="4"/>
      <c r="F22" s="3">
        <f t="shared" si="6"/>
        <v>250</v>
      </c>
      <c r="G22" s="9"/>
      <c r="H22" s="4">
        <v>2</v>
      </c>
      <c r="I22" s="4">
        <v>3</v>
      </c>
      <c r="J22" s="4"/>
      <c r="K22" s="4">
        <v>236</v>
      </c>
      <c r="L22" s="4"/>
      <c r="M22" s="4">
        <v>188</v>
      </c>
      <c r="N22" s="4" t="str">
        <f t="shared" ca="1" si="0"/>
        <v>18AP2</v>
      </c>
    </row>
    <row r="23" spans="1:14">
      <c r="A23" s="4" t="s">
        <v>795</v>
      </c>
      <c r="B23" s="3" t="str">
        <f t="shared" si="5"/>
        <v>AP2</v>
      </c>
      <c r="C23" s="4">
        <v>20</v>
      </c>
      <c r="D23" s="4">
        <v>-1</v>
      </c>
      <c r="E23" s="4">
        <v>0</v>
      </c>
      <c r="F23" s="3">
        <f t="shared" si="6"/>
        <v>250</v>
      </c>
      <c r="G23" s="9"/>
      <c r="H23" s="4">
        <v>0</v>
      </c>
      <c r="I23" s="4">
        <v>3</v>
      </c>
      <c r="J23" s="4"/>
      <c r="K23" s="4">
        <v>-1</v>
      </c>
      <c r="L23" s="4"/>
      <c r="M23" s="4">
        <v>-1</v>
      </c>
      <c r="N23" s="4" t="str">
        <f t="shared" ca="1" si="0"/>
        <v>18AP2</v>
      </c>
    </row>
    <row r="24" spans="1:14">
      <c r="A24" s="8" t="s">
        <v>796</v>
      </c>
      <c r="B24" s="8" t="s">
        <v>39</v>
      </c>
      <c r="C24" s="8">
        <v>5</v>
      </c>
      <c r="D24" s="8">
        <v>0</v>
      </c>
      <c r="E24" s="8">
        <v>0</v>
      </c>
      <c r="F24" s="8">
        <v>75</v>
      </c>
      <c r="G24" s="8"/>
      <c r="H24" s="8">
        <v>1</v>
      </c>
      <c r="I24" s="8">
        <v>4</v>
      </c>
      <c r="J24" s="8"/>
      <c r="K24" s="8">
        <v>428</v>
      </c>
      <c r="L24" s="8"/>
      <c r="M24" s="8">
        <v>9999</v>
      </c>
      <c r="N24" s="4" t="str">
        <f t="shared" ca="1" si="0"/>
        <v>18AP3</v>
      </c>
    </row>
    <row r="25" spans="1:14">
      <c r="A25" s="8" t="s">
        <v>797</v>
      </c>
      <c r="B25" s="8" t="str">
        <f>B24</f>
        <v>AP3</v>
      </c>
      <c r="C25" s="8">
        <v>40</v>
      </c>
      <c r="D25" s="8">
        <v>0</v>
      </c>
      <c r="E25" s="8">
        <v>0</v>
      </c>
      <c r="F25" s="8">
        <f>F24</f>
        <v>75</v>
      </c>
      <c r="G25" s="8"/>
      <c r="H25" s="8">
        <v>1</v>
      </c>
      <c r="I25" s="8">
        <v>4</v>
      </c>
      <c r="J25" s="8"/>
      <c r="K25" s="8">
        <v>76</v>
      </c>
      <c r="L25" s="8"/>
      <c r="M25" s="8">
        <v>9999</v>
      </c>
      <c r="N25" s="4" t="str">
        <f t="shared" ca="1" si="0"/>
        <v>18AP3</v>
      </c>
    </row>
    <row r="26" spans="1:14">
      <c r="A26" s="8" t="s">
        <v>798</v>
      </c>
      <c r="B26" s="8" t="str">
        <f>B25</f>
        <v>AP3</v>
      </c>
      <c r="C26" s="8">
        <v>20</v>
      </c>
      <c r="D26" s="8">
        <v>0</v>
      </c>
      <c r="E26" s="8">
        <v>0</v>
      </c>
      <c r="F26" s="8">
        <f>F25</f>
        <v>75</v>
      </c>
      <c r="G26" s="8"/>
      <c r="H26" s="8">
        <v>1</v>
      </c>
      <c r="I26" s="8">
        <v>4</v>
      </c>
      <c r="J26" s="8"/>
      <c r="K26" s="8">
        <v>108</v>
      </c>
      <c r="L26" s="8"/>
      <c r="M26" s="8">
        <v>9999</v>
      </c>
      <c r="N26" s="4" t="str">
        <f t="shared" ca="1" si="0"/>
        <v>18AP3</v>
      </c>
    </row>
    <row r="27" spans="1:14">
      <c r="A27" s="8" t="s">
        <v>799</v>
      </c>
      <c r="B27" s="8" t="str">
        <f>B26</f>
        <v>AP3</v>
      </c>
      <c r="C27" s="8">
        <v>10</v>
      </c>
      <c r="D27" s="8">
        <v>0</v>
      </c>
      <c r="E27" s="8">
        <v>0</v>
      </c>
      <c r="F27" s="8">
        <f>F26</f>
        <v>75</v>
      </c>
      <c r="G27" s="8"/>
      <c r="H27" s="8">
        <v>1</v>
      </c>
      <c r="I27" s="8">
        <v>4</v>
      </c>
      <c r="J27" s="8"/>
      <c r="K27" s="8">
        <v>236</v>
      </c>
      <c r="L27" s="8"/>
      <c r="M27" s="8">
        <v>9999</v>
      </c>
      <c r="N27" s="4" t="str">
        <f t="shared" ca="1" si="0"/>
        <v>18AP3</v>
      </c>
    </row>
    <row r="28" spans="1:14">
      <c r="A28" s="8" t="s">
        <v>800</v>
      </c>
      <c r="B28" s="8" t="str">
        <f>B27</f>
        <v>AP3</v>
      </c>
      <c r="C28" s="8">
        <v>30</v>
      </c>
      <c r="D28" s="8">
        <v>0</v>
      </c>
      <c r="E28" s="8">
        <v>0</v>
      </c>
      <c r="F28" s="8">
        <f>F27</f>
        <v>75</v>
      </c>
      <c r="G28" s="8"/>
      <c r="H28" s="8">
        <v>1</v>
      </c>
      <c r="I28" s="8">
        <v>4</v>
      </c>
      <c r="J28" s="8"/>
      <c r="K28" s="8">
        <v>76</v>
      </c>
      <c r="L28" s="8"/>
      <c r="M28" s="8">
        <v>9999</v>
      </c>
      <c r="N28" s="4" t="str">
        <f t="shared" ca="1" si="0"/>
        <v>18AP3</v>
      </c>
    </row>
    <row r="29" spans="1:14">
      <c r="A29" s="8" t="s">
        <v>801</v>
      </c>
      <c r="B29" s="8" t="str">
        <f>B28</f>
        <v>AP3</v>
      </c>
      <c r="C29" s="8">
        <v>5</v>
      </c>
      <c r="D29" s="8">
        <v>0</v>
      </c>
      <c r="E29" s="8">
        <v>0</v>
      </c>
      <c r="F29" s="8">
        <f>F28</f>
        <v>75</v>
      </c>
      <c r="G29" s="8"/>
      <c r="H29" s="8">
        <v>2</v>
      </c>
      <c r="I29" s="8">
        <v>4</v>
      </c>
      <c r="J29" s="8"/>
      <c r="K29" s="8">
        <v>428</v>
      </c>
      <c r="L29" s="8"/>
      <c r="M29" s="8">
        <v>9999</v>
      </c>
      <c r="N29" s="4" t="str">
        <f t="shared" ca="1" si="0"/>
        <v>18AP3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"/>
  <sheetViews>
    <sheetView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802</v>
      </c>
      <c r="B2" s="4" t="s">
        <v>17</v>
      </c>
      <c r="C2" s="4">
        <v>40</v>
      </c>
      <c r="D2" s="4">
        <v>1</v>
      </c>
      <c r="E2" s="4"/>
      <c r="F2" s="4">
        <v>150</v>
      </c>
      <c r="G2" s="4" t="s">
        <v>803</v>
      </c>
      <c r="H2" s="4">
        <v>1</v>
      </c>
      <c r="I2" s="4">
        <v>2</v>
      </c>
      <c r="J2" s="4"/>
      <c r="K2" s="4">
        <v>76</v>
      </c>
      <c r="L2" s="4"/>
      <c r="M2" s="4">
        <v>26</v>
      </c>
      <c r="N2" s="4" t="str">
        <f t="shared" ref="N2:N9" ca="1" si="0">_xlfn.CONCAT(_xlfn.SHEET(A1),B2)</f>
        <v>19AP2</v>
      </c>
    </row>
    <row r="3" spans="1:14">
      <c r="A3" s="4" t="s">
        <v>804</v>
      </c>
      <c r="B3" s="4" t="str">
        <f t="shared" ref="B3:B8" si="1">B2</f>
        <v>AP2</v>
      </c>
      <c r="C3" s="4">
        <v>20</v>
      </c>
      <c r="D3" s="4">
        <v>1</v>
      </c>
      <c r="E3" s="4"/>
      <c r="F3" s="4">
        <f t="shared" ref="F3:F8" si="2">F2</f>
        <v>150</v>
      </c>
      <c r="G3" s="4"/>
      <c r="H3" s="4">
        <v>1</v>
      </c>
      <c r="I3" s="4">
        <v>2</v>
      </c>
      <c r="J3" s="4"/>
      <c r="K3" s="4">
        <v>108</v>
      </c>
      <c r="L3" s="4"/>
      <c r="M3" s="4">
        <v>96</v>
      </c>
      <c r="N3" s="4" t="str">
        <f t="shared" ca="1" si="0"/>
        <v>19AP2</v>
      </c>
    </row>
    <row r="4" spans="1:14">
      <c r="A4" s="4" t="s">
        <v>805</v>
      </c>
      <c r="B4" s="4" t="str">
        <f t="shared" si="1"/>
        <v>AP2</v>
      </c>
      <c r="C4" s="4">
        <v>5</v>
      </c>
      <c r="D4" s="4">
        <v>0</v>
      </c>
      <c r="E4" s="4"/>
      <c r="F4" s="4">
        <f t="shared" si="2"/>
        <v>150</v>
      </c>
      <c r="G4" s="4"/>
      <c r="H4" s="4">
        <v>1</v>
      </c>
      <c r="I4" s="4">
        <v>2</v>
      </c>
      <c r="J4" s="4"/>
      <c r="K4" s="4">
        <v>427</v>
      </c>
      <c r="L4" s="4"/>
      <c r="M4" s="4">
        <v>9999</v>
      </c>
      <c r="N4" s="4" t="str">
        <f t="shared" ca="1" si="0"/>
        <v>19AP2</v>
      </c>
    </row>
    <row r="5" spans="1:14">
      <c r="A5" s="4" t="s">
        <v>806</v>
      </c>
      <c r="B5" s="4" t="str">
        <f t="shared" si="1"/>
        <v>AP2</v>
      </c>
      <c r="C5" s="4">
        <v>10</v>
      </c>
      <c r="D5" s="4">
        <v>1</v>
      </c>
      <c r="E5" s="4"/>
      <c r="F5" s="4">
        <f t="shared" si="2"/>
        <v>150</v>
      </c>
      <c r="G5" s="4" t="s">
        <v>807</v>
      </c>
      <c r="H5" s="4">
        <v>1</v>
      </c>
      <c r="I5" s="4">
        <v>2</v>
      </c>
      <c r="J5" s="4"/>
      <c r="K5" s="4">
        <v>201</v>
      </c>
      <c r="L5" s="4"/>
      <c r="M5" s="4">
        <v>236</v>
      </c>
      <c r="N5" s="4" t="str">
        <f t="shared" ca="1" si="0"/>
        <v>19AP2</v>
      </c>
    </row>
    <row r="6" spans="1:14">
      <c r="A6" s="4" t="s">
        <v>808</v>
      </c>
      <c r="B6" s="4" t="str">
        <f t="shared" si="1"/>
        <v>AP2</v>
      </c>
      <c r="C6" s="4">
        <v>30</v>
      </c>
      <c r="D6" s="4">
        <v>1</v>
      </c>
      <c r="E6" s="4"/>
      <c r="F6" s="4">
        <f t="shared" si="2"/>
        <v>150</v>
      </c>
      <c r="G6" s="4"/>
      <c r="H6" s="4">
        <v>1</v>
      </c>
      <c r="I6" s="4">
        <v>2</v>
      </c>
      <c r="J6" s="4"/>
      <c r="K6" s="4">
        <v>76</v>
      </c>
      <c r="L6" s="4"/>
      <c r="M6" s="4">
        <v>64</v>
      </c>
      <c r="N6" s="4" t="str">
        <f t="shared" ca="1" si="0"/>
        <v>19AP2</v>
      </c>
    </row>
    <row r="7" spans="1:14">
      <c r="A7" s="4" t="s">
        <v>809</v>
      </c>
      <c r="B7" s="4" t="str">
        <f t="shared" si="1"/>
        <v>AP2</v>
      </c>
      <c r="C7" s="4">
        <v>40</v>
      </c>
      <c r="D7" s="4">
        <v>1</v>
      </c>
      <c r="E7" s="4"/>
      <c r="F7" s="4">
        <f t="shared" si="2"/>
        <v>150</v>
      </c>
      <c r="G7" s="4"/>
      <c r="H7" s="4">
        <v>2</v>
      </c>
      <c r="I7" s="4">
        <v>2</v>
      </c>
      <c r="J7" s="4"/>
      <c r="K7" s="4">
        <v>77</v>
      </c>
      <c r="L7" s="4"/>
      <c r="M7" s="4">
        <v>31</v>
      </c>
      <c r="N7" s="4" t="str">
        <f t="shared" ca="1" si="0"/>
        <v>19AP2</v>
      </c>
    </row>
    <row r="8" spans="1:14">
      <c r="A8" s="4" t="s">
        <v>810</v>
      </c>
      <c r="B8" s="4" t="str">
        <f t="shared" si="1"/>
        <v>AP2</v>
      </c>
      <c r="C8" s="4">
        <v>100</v>
      </c>
      <c r="D8" s="4">
        <v>1</v>
      </c>
      <c r="E8" s="4"/>
      <c r="F8" s="4">
        <f t="shared" si="2"/>
        <v>150</v>
      </c>
      <c r="G8" s="4"/>
      <c r="H8" s="4">
        <v>0</v>
      </c>
      <c r="I8" s="4">
        <v>2</v>
      </c>
      <c r="J8" s="4"/>
      <c r="K8" s="4">
        <v>18</v>
      </c>
      <c r="L8" s="4"/>
      <c r="M8" s="4">
        <v>18</v>
      </c>
      <c r="N8" s="4" t="str">
        <f t="shared" ca="1" si="0"/>
        <v>19AP2</v>
      </c>
    </row>
    <row r="9" spans="1:14">
      <c r="A9" s="4" t="s">
        <v>811</v>
      </c>
      <c r="B9" s="4" t="s">
        <v>17</v>
      </c>
      <c r="C9" s="4">
        <v>20</v>
      </c>
      <c r="D9" s="4">
        <v>-1</v>
      </c>
      <c r="E9" s="4">
        <v>0</v>
      </c>
      <c r="F9" s="4">
        <v>150</v>
      </c>
      <c r="G9" s="4"/>
      <c r="H9" s="4">
        <v>0</v>
      </c>
      <c r="I9" s="4">
        <v>2</v>
      </c>
      <c r="J9" s="4"/>
      <c r="K9" s="4">
        <v>-1</v>
      </c>
      <c r="L9" s="4"/>
      <c r="M9" s="4">
        <v>-1</v>
      </c>
      <c r="N9" s="4" t="str">
        <f t="shared" ca="1" si="0"/>
        <v>19AP2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8"/>
  <sheetViews>
    <sheetView zoomScaleNormal="100" workbookViewId="0">
      <selection activeCell="N2" sqref="N2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812</v>
      </c>
      <c r="B2" s="6" t="s">
        <v>27</v>
      </c>
      <c r="C2" s="6"/>
      <c r="D2" s="4">
        <v>0</v>
      </c>
      <c r="E2" s="4">
        <v>0</v>
      </c>
      <c r="F2" s="4">
        <v>75</v>
      </c>
      <c r="G2" s="5"/>
      <c r="H2" s="4">
        <v>1</v>
      </c>
      <c r="I2" s="4">
        <v>1</v>
      </c>
      <c r="J2" s="4">
        <f>MAX(I:I)</f>
        <v>1</v>
      </c>
      <c r="K2" s="4">
        <v>429</v>
      </c>
      <c r="L2" s="4"/>
      <c r="M2" s="4">
        <v>9999</v>
      </c>
      <c r="N2" s="4" t="str">
        <f t="shared" ref="N2:N8" ca="1" si="0">_xlfn.CONCAT(_xlfn.SHEET(A1),B2)</f>
        <v>20AP1</v>
      </c>
    </row>
    <row r="3" spans="1:14">
      <c r="A3" s="5" t="s">
        <v>813</v>
      </c>
      <c r="B3" s="6" t="str">
        <f t="shared" ref="B3:B8" si="1">B2</f>
        <v>AP1</v>
      </c>
      <c r="C3" s="5"/>
      <c r="D3" s="6">
        <v>0</v>
      </c>
      <c r="E3" s="6"/>
      <c r="F3" s="4">
        <f>F2</f>
        <v>75</v>
      </c>
      <c r="G3" s="4"/>
      <c r="H3" s="4">
        <v>1</v>
      </c>
      <c r="I3" s="4">
        <v>1</v>
      </c>
      <c r="J3" s="4"/>
      <c r="K3" s="4">
        <v>108</v>
      </c>
      <c r="L3" s="4"/>
      <c r="M3" s="4">
        <v>107</v>
      </c>
      <c r="N3" s="4" t="str">
        <f t="shared" ca="1" si="0"/>
        <v>20AP1</v>
      </c>
    </row>
    <row r="4" spans="1:14">
      <c r="A4" s="5" t="s">
        <v>814</v>
      </c>
      <c r="B4" s="6" t="str">
        <f t="shared" si="1"/>
        <v>AP1</v>
      </c>
      <c r="C4" s="6"/>
      <c r="D4" s="6">
        <v>1</v>
      </c>
      <c r="E4" s="6"/>
      <c r="F4" s="4">
        <f>F3</f>
        <v>75</v>
      </c>
      <c r="G4" s="4"/>
      <c r="H4" s="4">
        <v>1</v>
      </c>
      <c r="I4" s="4">
        <v>1</v>
      </c>
      <c r="J4" s="4"/>
      <c r="K4" s="4">
        <v>76</v>
      </c>
      <c r="L4" s="4"/>
      <c r="M4" s="4">
        <v>43</v>
      </c>
      <c r="N4" s="4" t="str">
        <f t="shared" ca="1" si="0"/>
        <v>20AP1</v>
      </c>
    </row>
    <row r="5" spans="1:14">
      <c r="A5" s="4" t="s">
        <v>815</v>
      </c>
      <c r="B5" s="6" t="str">
        <f t="shared" si="1"/>
        <v>AP1</v>
      </c>
      <c r="C5" s="4"/>
      <c r="D5" s="4">
        <v>0</v>
      </c>
      <c r="E5" s="4">
        <v>0</v>
      </c>
      <c r="F5" s="4">
        <f>F4</f>
        <v>75</v>
      </c>
      <c r="G5" s="4"/>
      <c r="H5" s="4">
        <v>1</v>
      </c>
      <c r="I5" s="4">
        <v>1</v>
      </c>
      <c r="J5" s="4"/>
      <c r="K5" s="4">
        <v>237</v>
      </c>
      <c r="L5" s="4"/>
      <c r="M5" s="4">
        <v>9999</v>
      </c>
      <c r="N5" s="4" t="str">
        <f t="shared" ca="1" si="0"/>
        <v>20AP1</v>
      </c>
    </row>
    <row r="6" spans="1:14">
      <c r="A6" s="4" t="s">
        <v>816</v>
      </c>
      <c r="B6" s="6" t="str">
        <f t="shared" si="1"/>
        <v>AP1</v>
      </c>
      <c r="C6" s="4"/>
      <c r="D6" s="4">
        <v>0</v>
      </c>
      <c r="E6" s="4"/>
      <c r="F6" s="4">
        <f>F5</f>
        <v>75</v>
      </c>
      <c r="G6" s="4"/>
      <c r="H6" s="4">
        <v>1</v>
      </c>
      <c r="I6" s="4">
        <v>1</v>
      </c>
      <c r="J6" s="4"/>
      <c r="K6" s="4">
        <v>76</v>
      </c>
      <c r="L6" s="4"/>
      <c r="M6" s="4">
        <v>65</v>
      </c>
      <c r="N6" s="4" t="str">
        <f t="shared" ca="1" si="0"/>
        <v>20AP1</v>
      </c>
    </row>
    <row r="7" spans="1:14">
      <c r="A7" s="4" t="s">
        <v>817</v>
      </c>
      <c r="B7" s="6" t="str">
        <f t="shared" si="1"/>
        <v>AP1</v>
      </c>
      <c r="C7" s="4"/>
      <c r="D7" s="4">
        <v>0</v>
      </c>
      <c r="E7" s="4"/>
      <c r="F7" s="4">
        <v>75</v>
      </c>
      <c r="G7" s="4"/>
      <c r="H7" s="4">
        <v>2</v>
      </c>
      <c r="I7" s="4">
        <v>1</v>
      </c>
      <c r="J7" s="4"/>
      <c r="K7" s="4">
        <v>429</v>
      </c>
      <c r="L7" s="4"/>
      <c r="M7" s="4">
        <v>9999</v>
      </c>
      <c r="N7" s="4" t="str">
        <f t="shared" ca="1" si="0"/>
        <v>20AP1</v>
      </c>
    </row>
    <row r="8" spans="1:14">
      <c r="A8" s="4" t="s">
        <v>818</v>
      </c>
      <c r="B8" s="6" t="str">
        <f t="shared" si="1"/>
        <v>AP1</v>
      </c>
      <c r="C8" s="4"/>
      <c r="D8" s="4">
        <v>0</v>
      </c>
      <c r="E8" s="4"/>
      <c r="F8" s="4">
        <v>75</v>
      </c>
      <c r="G8" s="4"/>
      <c r="H8" s="4">
        <v>0</v>
      </c>
      <c r="I8" s="4">
        <v>1</v>
      </c>
      <c r="J8" s="4"/>
      <c r="K8" s="4">
        <v>-1</v>
      </c>
      <c r="L8" s="4"/>
      <c r="M8" s="4">
        <v>-1</v>
      </c>
      <c r="N8" s="4" t="str">
        <f t="shared" ca="1" si="0"/>
        <v>20AP1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1"/>
  <sheetViews>
    <sheetView topLeftCell="B1" zoomScaleNormal="100" workbookViewId="0">
      <selection activeCell="F6" sqref="F6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819</v>
      </c>
      <c r="B2" s="6" t="s">
        <v>24</v>
      </c>
      <c r="C2" s="6">
        <v>40</v>
      </c>
      <c r="D2" s="4">
        <v>1</v>
      </c>
      <c r="E2" s="4">
        <v>1</v>
      </c>
      <c r="F2" s="4">
        <v>150</v>
      </c>
      <c r="G2" s="5"/>
      <c r="H2" s="4">
        <v>1</v>
      </c>
      <c r="I2" s="4">
        <v>1</v>
      </c>
      <c r="J2" s="4"/>
      <c r="K2" s="4">
        <v>77</v>
      </c>
      <c r="L2" s="4"/>
      <c r="M2" s="4">
        <v>35</v>
      </c>
      <c r="N2" s="4" t="str">
        <f t="shared" ref="N2:N21" ca="1" si="0">_xlfn.CONCAT(_xlfn.SHEET(A1),B2)</f>
        <v>21M1</v>
      </c>
    </row>
    <row r="3" spans="1:14">
      <c r="A3" s="5" t="s">
        <v>820</v>
      </c>
      <c r="B3" s="6" t="str">
        <f t="shared" ref="B3:B8" si="1">B2</f>
        <v>M1</v>
      </c>
      <c r="C3" s="5">
        <v>5</v>
      </c>
      <c r="D3" s="6">
        <v>1</v>
      </c>
      <c r="E3" s="6">
        <v>1</v>
      </c>
      <c r="F3" s="4">
        <f t="shared" ref="F3:F8" si="2">F2</f>
        <v>150</v>
      </c>
      <c r="G3" s="4"/>
      <c r="H3" s="4">
        <v>1</v>
      </c>
      <c r="I3" s="4">
        <v>1</v>
      </c>
      <c r="J3" s="4"/>
      <c r="K3" s="4">
        <v>429</v>
      </c>
      <c r="L3" s="4"/>
      <c r="M3" s="4">
        <v>363</v>
      </c>
      <c r="N3" s="4" t="str">
        <f t="shared" ca="1" si="0"/>
        <v>21M1</v>
      </c>
    </row>
    <row r="4" spans="1:14">
      <c r="A4" s="5" t="s">
        <v>821</v>
      </c>
      <c r="B4" s="6" t="str">
        <f t="shared" si="1"/>
        <v>M1</v>
      </c>
      <c r="C4" s="6">
        <v>20</v>
      </c>
      <c r="D4" s="6">
        <v>1</v>
      </c>
      <c r="E4" s="6">
        <v>1</v>
      </c>
      <c r="F4" s="4">
        <f t="shared" si="2"/>
        <v>150</v>
      </c>
      <c r="G4" s="4"/>
      <c r="H4" s="4">
        <v>1</v>
      </c>
      <c r="I4" s="4">
        <v>1</v>
      </c>
      <c r="J4" s="4"/>
      <c r="K4" s="4">
        <v>108</v>
      </c>
      <c r="L4" s="4"/>
      <c r="M4" s="4">
        <v>84</v>
      </c>
      <c r="N4" s="4" t="str">
        <f t="shared" ca="1" si="0"/>
        <v>21M1</v>
      </c>
    </row>
    <row r="5" spans="1:14">
      <c r="A5" s="4" t="s">
        <v>822</v>
      </c>
      <c r="B5" s="6" t="str">
        <f t="shared" si="1"/>
        <v>M1</v>
      </c>
      <c r="C5" s="4">
        <v>10</v>
      </c>
      <c r="D5" s="4">
        <v>1</v>
      </c>
      <c r="E5" s="4">
        <v>1</v>
      </c>
      <c r="F5" s="4">
        <f t="shared" si="2"/>
        <v>150</v>
      </c>
      <c r="G5" s="4"/>
      <c r="H5" s="4">
        <v>1</v>
      </c>
      <c r="I5" s="4">
        <v>1</v>
      </c>
      <c r="J5" s="4"/>
      <c r="K5" s="4">
        <v>236</v>
      </c>
      <c r="L5" s="4"/>
      <c r="M5" s="4">
        <v>198</v>
      </c>
      <c r="N5" s="4" t="str">
        <f t="shared" ca="1" si="0"/>
        <v>21M1</v>
      </c>
    </row>
    <row r="6" spans="1:14">
      <c r="A6" s="4" t="s">
        <v>823</v>
      </c>
      <c r="B6" s="6" t="str">
        <f t="shared" si="1"/>
        <v>M1</v>
      </c>
      <c r="C6" s="4">
        <v>30</v>
      </c>
      <c r="D6" s="4">
        <v>1</v>
      </c>
      <c r="E6" s="4">
        <v>1</v>
      </c>
      <c r="F6" s="4">
        <f t="shared" si="2"/>
        <v>150</v>
      </c>
      <c r="G6" s="4"/>
      <c r="H6" s="4">
        <v>1</v>
      </c>
      <c r="I6" s="4">
        <v>1</v>
      </c>
      <c r="J6" s="4"/>
      <c r="K6" s="4">
        <v>77</v>
      </c>
      <c r="L6" s="4"/>
      <c r="M6" s="4">
        <v>46</v>
      </c>
      <c r="N6" s="4" t="str">
        <f t="shared" ca="1" si="0"/>
        <v>21M1</v>
      </c>
    </row>
    <row r="7" spans="1:14">
      <c r="A7" s="4" t="s">
        <v>824</v>
      </c>
      <c r="B7" s="6" t="str">
        <f t="shared" si="1"/>
        <v>M1</v>
      </c>
      <c r="C7" s="4">
        <v>40</v>
      </c>
      <c r="D7" s="4">
        <v>1</v>
      </c>
      <c r="E7" s="4">
        <v>1</v>
      </c>
      <c r="F7" s="4">
        <f t="shared" si="2"/>
        <v>150</v>
      </c>
      <c r="G7" s="4"/>
      <c r="H7" s="4">
        <v>2</v>
      </c>
      <c r="I7" s="4">
        <v>1</v>
      </c>
      <c r="J7" s="4"/>
      <c r="K7" s="4">
        <v>77</v>
      </c>
      <c r="L7" s="4"/>
      <c r="M7" s="4">
        <v>33</v>
      </c>
      <c r="N7" s="4" t="str">
        <f t="shared" ca="1" si="0"/>
        <v>21M1</v>
      </c>
    </row>
    <row r="8" spans="1:14">
      <c r="A8" s="4" t="s">
        <v>825</v>
      </c>
      <c r="B8" s="6" t="str">
        <f t="shared" si="1"/>
        <v>M1</v>
      </c>
      <c r="C8" s="4">
        <v>20</v>
      </c>
      <c r="D8" s="4">
        <v>-1</v>
      </c>
      <c r="E8" s="4">
        <v>0</v>
      </c>
      <c r="F8" s="4">
        <f t="shared" si="2"/>
        <v>150</v>
      </c>
      <c r="G8" s="4"/>
      <c r="H8" s="4">
        <v>0</v>
      </c>
      <c r="I8" s="4">
        <v>1</v>
      </c>
      <c r="J8" s="4"/>
      <c r="K8" s="4">
        <v>-1</v>
      </c>
      <c r="L8" s="4"/>
      <c r="M8" s="4">
        <v>-1</v>
      </c>
      <c r="N8" s="4" t="str">
        <f t="shared" ca="1" si="0"/>
        <v>21M1</v>
      </c>
    </row>
    <row r="9" spans="1:14">
      <c r="A9" s="7" t="s">
        <v>826</v>
      </c>
      <c r="B9" s="8" t="s">
        <v>27</v>
      </c>
      <c r="C9" s="7">
        <v>40</v>
      </c>
      <c r="D9" s="8">
        <v>1</v>
      </c>
      <c r="E9" s="8"/>
      <c r="F9" s="8">
        <v>150</v>
      </c>
      <c r="G9" s="7"/>
      <c r="H9" s="8">
        <v>1</v>
      </c>
      <c r="I9" s="8">
        <v>2</v>
      </c>
      <c r="J9" s="8"/>
      <c r="K9" s="8">
        <v>76</v>
      </c>
      <c r="L9" s="8"/>
      <c r="M9" s="8">
        <v>47</v>
      </c>
      <c r="N9" s="4" t="str">
        <f t="shared" ca="1" si="0"/>
        <v>21AP1</v>
      </c>
    </row>
    <row r="10" spans="1:14">
      <c r="A10" s="7" t="s">
        <v>827</v>
      </c>
      <c r="B10" s="8" t="str">
        <f>B9</f>
        <v>AP1</v>
      </c>
      <c r="C10" s="7">
        <v>10</v>
      </c>
      <c r="D10" s="8">
        <v>0</v>
      </c>
      <c r="E10" s="8"/>
      <c r="F10" s="8">
        <f>F9</f>
        <v>150</v>
      </c>
      <c r="G10" s="7"/>
      <c r="H10" s="8">
        <v>1</v>
      </c>
      <c r="I10" s="8">
        <v>2</v>
      </c>
      <c r="J10" s="8"/>
      <c r="K10" s="8">
        <v>236</v>
      </c>
      <c r="L10" s="8"/>
      <c r="M10" s="8">
        <v>623</v>
      </c>
      <c r="N10" s="4" t="str">
        <f t="shared" ca="1" si="0"/>
        <v>21AP1</v>
      </c>
    </row>
    <row r="11" spans="1:14">
      <c r="A11" s="7" t="s">
        <v>828</v>
      </c>
      <c r="B11" s="8" t="str">
        <f>B10</f>
        <v>AP1</v>
      </c>
      <c r="C11" s="7">
        <v>20</v>
      </c>
      <c r="D11" s="8">
        <v>0</v>
      </c>
      <c r="E11" s="8"/>
      <c r="F11" s="8">
        <f>F10</f>
        <v>150</v>
      </c>
      <c r="G11" s="8"/>
      <c r="H11" s="8">
        <v>1</v>
      </c>
      <c r="I11" s="8">
        <v>2</v>
      </c>
      <c r="J11" s="8"/>
      <c r="K11" s="8">
        <v>108</v>
      </c>
      <c r="L11" s="8"/>
      <c r="M11" s="8">
        <v>101</v>
      </c>
      <c r="N11" s="4" t="str">
        <f t="shared" ca="1" si="0"/>
        <v>21AP1</v>
      </c>
    </row>
    <row r="12" spans="1:14">
      <c r="A12" s="7" t="s">
        <v>829</v>
      </c>
      <c r="B12" s="8" t="str">
        <f>B11</f>
        <v>AP1</v>
      </c>
      <c r="C12" s="7">
        <v>5</v>
      </c>
      <c r="D12" s="8">
        <v>0</v>
      </c>
      <c r="E12" s="8"/>
      <c r="F12" s="8">
        <f>F11</f>
        <v>150</v>
      </c>
      <c r="G12" s="7"/>
      <c r="H12" s="8">
        <v>1</v>
      </c>
      <c r="I12" s="8">
        <v>2</v>
      </c>
      <c r="J12" s="8"/>
      <c r="K12" s="8">
        <v>428</v>
      </c>
      <c r="L12" s="8"/>
      <c r="M12" s="8">
        <v>683</v>
      </c>
      <c r="N12" s="4" t="str">
        <f t="shared" ca="1" si="0"/>
        <v>21AP1</v>
      </c>
    </row>
    <row r="13" spans="1:14">
      <c r="A13" s="7" t="s">
        <v>830</v>
      </c>
      <c r="B13" s="8" t="str">
        <f>B12</f>
        <v>AP1</v>
      </c>
      <c r="C13" s="7">
        <v>30</v>
      </c>
      <c r="D13" s="8">
        <v>0</v>
      </c>
      <c r="E13" s="8"/>
      <c r="F13" s="8">
        <f>F12</f>
        <v>150</v>
      </c>
      <c r="G13" s="7"/>
      <c r="H13" s="8">
        <v>1</v>
      </c>
      <c r="I13" s="8">
        <v>2</v>
      </c>
      <c r="J13" s="8"/>
      <c r="K13" s="8">
        <v>76</v>
      </c>
      <c r="L13" s="8"/>
      <c r="M13" s="8">
        <v>77</v>
      </c>
      <c r="N13" s="4" t="str">
        <f t="shared" ca="1" si="0"/>
        <v>21AP1</v>
      </c>
    </row>
    <row r="14" spans="1:14">
      <c r="A14" s="7" t="s">
        <v>831</v>
      </c>
      <c r="B14" s="8" t="str">
        <f>B13</f>
        <v>AP1</v>
      </c>
      <c r="C14" s="7">
        <v>40</v>
      </c>
      <c r="D14" s="8">
        <v>1</v>
      </c>
      <c r="E14" s="8"/>
      <c r="F14" s="8">
        <f>F13</f>
        <v>150</v>
      </c>
      <c r="G14" s="7"/>
      <c r="H14" s="8">
        <v>2</v>
      </c>
      <c r="I14" s="8">
        <v>2</v>
      </c>
      <c r="J14" s="8"/>
      <c r="K14" s="8">
        <v>76</v>
      </c>
      <c r="L14" s="8"/>
      <c r="M14" s="8">
        <v>46</v>
      </c>
      <c r="N14" s="4" t="str">
        <f t="shared" ca="1" si="0"/>
        <v>21AP1</v>
      </c>
    </row>
    <row r="15" spans="1:14">
      <c r="A15" s="4" t="s">
        <v>832</v>
      </c>
      <c r="B15" s="3" t="s">
        <v>17</v>
      </c>
      <c r="C15" s="4">
        <v>20</v>
      </c>
      <c r="D15" s="4">
        <v>1</v>
      </c>
      <c r="E15" s="4">
        <v>1</v>
      </c>
      <c r="F15" s="3">
        <v>150</v>
      </c>
      <c r="G15" s="4"/>
      <c r="H15" s="4">
        <v>1</v>
      </c>
      <c r="I15" s="4">
        <v>3</v>
      </c>
      <c r="J15" s="4"/>
      <c r="K15" s="4">
        <v>108</v>
      </c>
      <c r="L15" s="4"/>
      <c r="M15" s="4">
        <v>91</v>
      </c>
      <c r="N15" s="4" t="str">
        <f t="shared" ca="1" si="0"/>
        <v>21AP2</v>
      </c>
    </row>
    <row r="16" spans="1:14">
      <c r="A16" s="4" t="s">
        <v>833</v>
      </c>
      <c r="B16" s="3" t="str">
        <f t="shared" ref="B16:B21" si="3">B15</f>
        <v>AP2</v>
      </c>
      <c r="C16" s="4">
        <v>10</v>
      </c>
      <c r="D16" s="4">
        <v>0</v>
      </c>
      <c r="E16" s="4">
        <v>0</v>
      </c>
      <c r="F16" s="3">
        <f t="shared" ref="F16:F21" si="4">F15</f>
        <v>150</v>
      </c>
      <c r="G16" s="4"/>
      <c r="H16" s="4">
        <v>1</v>
      </c>
      <c r="I16" s="4">
        <v>3</v>
      </c>
      <c r="J16" s="4"/>
      <c r="K16" s="4">
        <v>236</v>
      </c>
      <c r="L16" s="4"/>
      <c r="M16" s="4">
        <v>9999</v>
      </c>
      <c r="N16" s="4" t="str">
        <f t="shared" ca="1" si="0"/>
        <v>21AP2</v>
      </c>
    </row>
    <row r="17" spans="1:14">
      <c r="A17" s="4" t="s">
        <v>834</v>
      </c>
      <c r="B17" s="3" t="str">
        <f t="shared" si="3"/>
        <v>AP2</v>
      </c>
      <c r="C17" s="4">
        <v>40</v>
      </c>
      <c r="D17" s="4">
        <v>0</v>
      </c>
      <c r="E17" s="4">
        <v>1</v>
      </c>
      <c r="F17" s="3">
        <f t="shared" si="4"/>
        <v>150</v>
      </c>
      <c r="G17" s="4" t="s">
        <v>262</v>
      </c>
      <c r="H17" s="4">
        <v>1</v>
      </c>
      <c r="I17" s="4">
        <v>3</v>
      </c>
      <c r="J17" s="4"/>
      <c r="K17" s="4">
        <v>76</v>
      </c>
      <c r="L17" s="4"/>
      <c r="M17" s="4">
        <v>59</v>
      </c>
      <c r="N17" s="4" t="str">
        <f t="shared" ca="1" si="0"/>
        <v>21AP2</v>
      </c>
    </row>
    <row r="18" spans="1:14">
      <c r="A18" s="4" t="s">
        <v>835</v>
      </c>
      <c r="B18" s="3" t="str">
        <f t="shared" si="3"/>
        <v>AP2</v>
      </c>
      <c r="C18" s="4">
        <v>5</v>
      </c>
      <c r="D18" s="4">
        <v>0</v>
      </c>
      <c r="E18" s="4">
        <v>0</v>
      </c>
      <c r="F18" s="3">
        <f t="shared" si="4"/>
        <v>150</v>
      </c>
      <c r="G18" s="4" t="s">
        <v>836</v>
      </c>
      <c r="H18" s="4">
        <v>1</v>
      </c>
      <c r="I18" s="4">
        <v>3</v>
      </c>
      <c r="J18" s="4"/>
      <c r="K18" s="4">
        <v>428</v>
      </c>
      <c r="L18" s="4"/>
      <c r="M18" s="4">
        <v>9999</v>
      </c>
      <c r="N18" s="4" t="str">
        <f t="shared" ca="1" si="0"/>
        <v>21AP2</v>
      </c>
    </row>
    <row r="19" spans="1:14">
      <c r="A19" s="4" t="s">
        <v>837</v>
      </c>
      <c r="B19" s="3" t="str">
        <f t="shared" si="3"/>
        <v>AP2</v>
      </c>
      <c r="C19" s="4">
        <v>30</v>
      </c>
      <c r="D19" s="4">
        <v>0</v>
      </c>
      <c r="E19" s="4">
        <v>1</v>
      </c>
      <c r="F19" s="3">
        <f t="shared" si="4"/>
        <v>150</v>
      </c>
      <c r="G19" s="9" t="s">
        <v>838</v>
      </c>
      <c r="H19" s="4">
        <v>1</v>
      </c>
      <c r="I19" s="4">
        <v>3</v>
      </c>
      <c r="J19" s="4"/>
      <c r="K19" s="4">
        <v>77</v>
      </c>
      <c r="L19" s="4"/>
      <c r="M19" s="4">
        <v>76</v>
      </c>
      <c r="N19" s="4" t="str">
        <f t="shared" ca="1" si="0"/>
        <v>21AP2</v>
      </c>
    </row>
    <row r="20" spans="1:14">
      <c r="A20" s="4" t="s">
        <v>839</v>
      </c>
      <c r="B20" s="3" t="str">
        <f t="shared" si="3"/>
        <v>AP2</v>
      </c>
      <c r="C20" s="4">
        <v>20</v>
      </c>
      <c r="D20" s="4">
        <v>1</v>
      </c>
      <c r="E20" s="4">
        <v>1</v>
      </c>
      <c r="F20" s="3">
        <f t="shared" si="4"/>
        <v>150</v>
      </c>
      <c r="G20" s="9" t="s">
        <v>840</v>
      </c>
      <c r="H20" s="4">
        <v>2</v>
      </c>
      <c r="I20" s="4">
        <v>3</v>
      </c>
      <c r="J20" s="4"/>
      <c r="K20" s="4">
        <v>108</v>
      </c>
      <c r="L20" s="4"/>
      <c r="M20" s="4">
        <v>100</v>
      </c>
      <c r="N20" s="4" t="str">
        <f t="shared" ca="1" si="0"/>
        <v>21AP2</v>
      </c>
    </row>
    <row r="21" spans="1:14">
      <c r="A21" s="4" t="s">
        <v>841</v>
      </c>
      <c r="B21" s="3" t="str">
        <f t="shared" si="3"/>
        <v>AP2</v>
      </c>
      <c r="C21" s="4">
        <v>20</v>
      </c>
      <c r="D21" s="4">
        <v>0</v>
      </c>
      <c r="E21" s="4">
        <v>0</v>
      </c>
      <c r="F21" s="3">
        <f t="shared" si="4"/>
        <v>150</v>
      </c>
      <c r="G21" s="9"/>
      <c r="H21" s="4">
        <v>0</v>
      </c>
      <c r="I21" s="4">
        <v>3</v>
      </c>
      <c r="J21" s="4"/>
      <c r="K21" s="4">
        <v>-1</v>
      </c>
      <c r="L21" s="4"/>
      <c r="M21" s="4">
        <v>-1</v>
      </c>
      <c r="N21" s="4" t="str">
        <f t="shared" ca="1" si="0"/>
        <v>21AP2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6"/>
  <sheetViews>
    <sheetView topLeftCell="F1" zoomScaleNormal="100" workbookViewId="0">
      <selection activeCell="N3" sqref="N3"/>
    </sheetView>
  </sheetViews>
  <sheetFormatPr baseColWidth="10" defaultColWidth="9.09765625" defaultRowHeight="13.8"/>
  <cols>
    <col min="1" max="1" width="74.8984375" style="1" customWidth="1"/>
    <col min="2" max="2" width="9.09765625" style="1"/>
    <col min="3" max="3" width="4.69921875" style="1" customWidth="1"/>
    <col min="4" max="5" width="5.09765625" style="1" customWidth="1"/>
    <col min="6" max="6" width="4.69921875" style="1" customWidth="1"/>
    <col min="7" max="7" width="10" style="1" customWidth="1"/>
    <col min="8" max="8" width="5.8984375" style="1" customWidth="1"/>
    <col min="9" max="9" width="3.296875" style="1" customWidth="1"/>
    <col min="10" max="10" width="9.09765625" style="1"/>
    <col min="11" max="11" width="12.296875" style="1" customWidth="1"/>
    <col min="12" max="12" width="14.09765625" style="1" customWidth="1"/>
    <col min="13" max="13" width="13" style="1" customWidth="1"/>
    <col min="14" max="16384" width="9.097656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842</v>
      </c>
      <c r="B2" s="6" t="s">
        <v>24</v>
      </c>
      <c r="C2" s="6">
        <v>10</v>
      </c>
      <c r="D2" s="4">
        <v>0</v>
      </c>
      <c r="E2" s="4">
        <v>0</v>
      </c>
      <c r="F2" s="4">
        <v>75</v>
      </c>
      <c r="G2" s="5" t="s">
        <v>110</v>
      </c>
      <c r="H2" s="4">
        <v>1</v>
      </c>
      <c r="I2" s="4">
        <v>1</v>
      </c>
      <c r="J2" s="4">
        <f>MAX(I:I)</f>
        <v>1</v>
      </c>
      <c r="K2" s="4">
        <v>237</v>
      </c>
      <c r="L2" s="4"/>
      <c r="M2" s="4">
        <v>9999</v>
      </c>
      <c r="N2" s="1" t="str">
        <f t="shared" ref="N2:N8" ca="1" si="0">_xlfn.CONCAT(_xlfn.SHEET(A1),B2)</f>
        <v>22M1</v>
      </c>
    </row>
    <row r="3" spans="1:14">
      <c r="A3" s="5" t="s">
        <v>843</v>
      </c>
      <c r="B3" s="6" t="str">
        <f t="shared" ref="B3:B8" si="1">B2</f>
        <v>M1</v>
      </c>
      <c r="C3" s="5">
        <v>40</v>
      </c>
      <c r="D3" s="6">
        <v>0</v>
      </c>
      <c r="E3" s="6">
        <v>1</v>
      </c>
      <c r="F3" s="4">
        <f>F2</f>
        <v>75</v>
      </c>
      <c r="G3" s="4" t="s">
        <v>844</v>
      </c>
      <c r="H3" s="4">
        <v>1</v>
      </c>
      <c r="I3" s="4">
        <v>1</v>
      </c>
      <c r="J3" s="4"/>
      <c r="K3" s="4">
        <v>77</v>
      </c>
      <c r="L3" s="4"/>
      <c r="M3" s="4">
        <v>57</v>
      </c>
      <c r="N3" s="1" t="str">
        <f t="shared" ca="1" si="0"/>
        <v>22M1</v>
      </c>
    </row>
    <row r="4" spans="1:14">
      <c r="A4" s="5" t="s">
        <v>845</v>
      </c>
      <c r="B4" s="6" t="str">
        <f t="shared" si="1"/>
        <v>M1</v>
      </c>
      <c r="C4" s="6">
        <v>20</v>
      </c>
      <c r="D4" s="6">
        <v>0</v>
      </c>
      <c r="E4" s="6">
        <v>1</v>
      </c>
      <c r="F4" s="4">
        <f>F3</f>
        <v>75</v>
      </c>
      <c r="G4" s="4" t="s">
        <v>846</v>
      </c>
      <c r="H4" s="4">
        <v>1</v>
      </c>
      <c r="I4" s="4">
        <v>1</v>
      </c>
      <c r="J4" s="4"/>
      <c r="K4" s="4">
        <v>109</v>
      </c>
      <c r="L4" s="4"/>
      <c r="M4" s="4">
        <v>109</v>
      </c>
      <c r="N4" s="1" t="str">
        <f t="shared" ca="1" si="0"/>
        <v>22M1</v>
      </c>
    </row>
    <row r="5" spans="1:14">
      <c r="A5" s="4" t="s">
        <v>847</v>
      </c>
      <c r="B5" s="6" t="str">
        <f t="shared" si="1"/>
        <v>M1</v>
      </c>
      <c r="C5" s="4">
        <v>5</v>
      </c>
      <c r="D5" s="4">
        <v>0</v>
      </c>
      <c r="E5" s="4">
        <v>0</v>
      </c>
      <c r="F5" s="4">
        <f>F4</f>
        <v>75</v>
      </c>
      <c r="G5" s="4" t="s">
        <v>385</v>
      </c>
      <c r="H5" s="4">
        <v>1</v>
      </c>
      <c r="I5" s="4">
        <v>1</v>
      </c>
      <c r="J5" s="4"/>
      <c r="K5" s="4">
        <v>429</v>
      </c>
      <c r="L5" s="4"/>
      <c r="M5" s="4">
        <v>9999</v>
      </c>
      <c r="N5" s="1" t="str">
        <f t="shared" ca="1" si="0"/>
        <v>22M1</v>
      </c>
    </row>
    <row r="6" spans="1:14">
      <c r="A6" s="4" t="s">
        <v>848</v>
      </c>
      <c r="B6" s="6" t="str">
        <f t="shared" si="1"/>
        <v>M1</v>
      </c>
      <c r="C6" s="4">
        <v>30</v>
      </c>
      <c r="D6" s="4">
        <v>1</v>
      </c>
      <c r="E6" s="4">
        <v>1</v>
      </c>
      <c r="F6" s="4">
        <f>F5</f>
        <v>75</v>
      </c>
      <c r="G6" s="4" t="s">
        <v>849</v>
      </c>
      <c r="H6" s="4">
        <v>1</v>
      </c>
      <c r="I6" s="4">
        <v>1</v>
      </c>
      <c r="J6" s="4"/>
      <c r="K6" s="4">
        <v>75</v>
      </c>
      <c r="L6" s="4"/>
      <c r="M6" s="4">
        <v>64</v>
      </c>
      <c r="N6" s="1" t="str">
        <f t="shared" ca="1" si="0"/>
        <v>22M1</v>
      </c>
    </row>
    <row r="7" spans="1:14">
      <c r="A7" s="4" t="s">
        <v>850</v>
      </c>
      <c r="B7" s="6" t="str">
        <f t="shared" si="1"/>
        <v>M1</v>
      </c>
      <c r="C7" s="4">
        <v>10</v>
      </c>
      <c r="D7" s="4">
        <v>0</v>
      </c>
      <c r="E7" s="4">
        <v>0</v>
      </c>
      <c r="F7" s="4">
        <v>75</v>
      </c>
      <c r="G7" s="4"/>
      <c r="H7" s="4">
        <v>2</v>
      </c>
      <c r="I7" s="4">
        <v>1</v>
      </c>
      <c r="J7" s="4"/>
      <c r="K7" s="4">
        <v>236</v>
      </c>
      <c r="L7" s="4"/>
      <c r="M7" s="4">
        <v>9999</v>
      </c>
      <c r="N7" s="1" t="str">
        <f t="shared" ca="1" si="0"/>
        <v>22M1</v>
      </c>
    </row>
    <row r="8" spans="1:14">
      <c r="A8" s="4" t="s">
        <v>851</v>
      </c>
      <c r="B8" s="6" t="str">
        <f t="shared" si="1"/>
        <v>M1</v>
      </c>
      <c r="C8" s="4">
        <v>20</v>
      </c>
      <c r="D8" s="4">
        <v>-1</v>
      </c>
      <c r="E8" s="4">
        <v>0</v>
      </c>
      <c r="F8" s="4">
        <v>75</v>
      </c>
      <c r="G8" s="4"/>
      <c r="H8" s="4">
        <v>0</v>
      </c>
      <c r="I8" s="4">
        <v>1</v>
      </c>
      <c r="J8" s="4"/>
      <c r="K8" s="4">
        <v>-1</v>
      </c>
      <c r="L8" s="4">
        <v>-1</v>
      </c>
      <c r="M8" s="4">
        <v>-1</v>
      </c>
      <c r="N8" s="1" t="str">
        <f t="shared" ca="1" si="0"/>
        <v>22M1</v>
      </c>
    </row>
    <row r="16" spans="1:14">
      <c r="K16" s="1" t="e">
        <f t="array" ref="K16">nom_feuille</f>
        <v>#NAME?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02_16</vt:lpstr>
      <vt:lpstr>02_17</vt:lpstr>
      <vt:lpstr>02_20</vt:lpstr>
      <vt:lpstr>02_21</vt:lpstr>
      <vt:lpstr>02_22</vt:lpstr>
      <vt:lpstr>02_23</vt:lpstr>
      <vt:lpstr>02_24</vt:lpstr>
      <vt:lpstr>02_25</vt:lpstr>
      <vt:lpstr>02_26</vt:lpstr>
      <vt:lpstr>02_27</vt:lpstr>
      <vt:lpstr>02_28</vt:lpstr>
      <vt:lpstr>02_29</vt:lpstr>
      <vt:lpstr>03_01</vt:lpstr>
      <vt:lpstr>03_02</vt:lpstr>
      <vt:lpstr>03_03</vt:lpstr>
      <vt:lpstr>03_04</vt:lpstr>
      <vt:lpstr>03_05</vt:lpstr>
      <vt:lpstr>03_06</vt:lpstr>
      <vt:lpstr>03_07</vt:lpstr>
      <vt:lpstr>03_08</vt:lpstr>
      <vt:lpstr>03_11</vt:lpstr>
      <vt:lpstr>03_12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 Clemencon</cp:lastModifiedBy>
  <cp:revision>2</cp:revision>
  <dcterms:created xsi:type="dcterms:W3CDTF">2024-02-14T16:56:16Z</dcterms:created>
  <dcterms:modified xsi:type="dcterms:W3CDTF">2024-04-28T13:59:53Z</dcterms:modified>
  <dc:language>fr-FR</dc:language>
</cp:coreProperties>
</file>